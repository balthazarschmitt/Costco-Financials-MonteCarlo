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Projects\Costco Financials\"/>
    </mc:Choice>
  </mc:AlternateContent>
  <xr:revisionPtr revIDLastSave="0" documentId="13_ncr:1_{CE8B95D7-BABE-4635-A8E4-3C3091A6A659}" xr6:coauthVersionLast="47" xr6:coauthVersionMax="47" xr10:uidLastSave="{00000000-0000-0000-0000-000000000000}"/>
  <bookViews>
    <workbookView xWindow="-110" yWindow="350" windowWidth="22780" windowHeight="14800" activeTab="1" xr2:uid="{A1F3CBD5-A7CF-49C4-A7ED-958B12A488C4}"/>
  </bookViews>
  <sheets>
    <sheet name="3_Statement_Model" sheetId="6" r:id="rId1"/>
    <sheet name="DCF" sheetId="8" r:id="rId2"/>
    <sheet name="WACC" sheetId="9" r:id="rId3"/>
  </sheets>
  <definedNames>
    <definedName name="gr">DCF!$D$16</definedName>
    <definedName name="term">DCF!$D$16</definedName>
    <definedName name="terminal">DCF!$D$16</definedName>
    <definedName name="tgr">DCF!$D$16</definedName>
    <definedName name="wacc">DCF!$D$15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6" l="1"/>
  <c r="G5" i="8" a="1"/>
  <c r="G5" i="8" s="1"/>
  <c r="D10" i="8"/>
  <c r="D11" i="8" s="1"/>
  <c r="D12" i="8" s="1"/>
  <c r="D13" i="8" s="1"/>
  <c r="N80" i="8"/>
  <c r="N79" i="8"/>
  <c r="J50" i="8"/>
  <c r="K73" i="8"/>
  <c r="L73" i="8" s="1"/>
  <c r="M73" i="8" s="1"/>
  <c r="N73" i="8" s="1"/>
  <c r="P14" i="8"/>
  <c r="H14" i="8"/>
  <c r="D17" i="9"/>
  <c r="D16" i="8" l="1"/>
  <c r="D15" i="9"/>
  <c r="D20" i="9" l="1"/>
  <c r="D9" i="9" s="1"/>
  <c r="D16" i="9"/>
  <c r="I93" i="6"/>
  <c r="N52" i="8"/>
  <c r="N50" i="8"/>
  <c r="N49" i="8" s="1"/>
  <c r="N46" i="8"/>
  <c r="N44" i="8"/>
  <c r="N43" i="8" s="1"/>
  <c r="M45" i="8"/>
  <c r="L45" i="8"/>
  <c r="K44" i="8"/>
  <c r="K43" i="8" s="1"/>
  <c r="K46" i="8"/>
  <c r="I20" i="6"/>
  <c r="L46" i="8" l="1"/>
  <c r="L44" i="8"/>
  <c r="L43" i="8" s="1"/>
  <c r="M44" i="8"/>
  <c r="M43" i="8" s="1"/>
  <c r="M46" i="8"/>
  <c r="F37" i="8"/>
  <c r="F66" i="8" s="1"/>
  <c r="G37" i="8"/>
  <c r="G66" i="8" s="1"/>
  <c r="H37" i="8"/>
  <c r="H66" i="8" s="1"/>
  <c r="I37" i="8"/>
  <c r="I66" i="8" s="1"/>
  <c r="E37" i="8"/>
  <c r="E66" i="8" s="1"/>
  <c r="E95" i="6"/>
  <c r="F95" i="6"/>
  <c r="G95" i="6"/>
  <c r="H95" i="6"/>
  <c r="D95" i="6"/>
  <c r="F34" i="8"/>
  <c r="G34" i="8"/>
  <c r="H34" i="8"/>
  <c r="I34" i="8"/>
  <c r="E34" i="8"/>
  <c r="H26" i="8"/>
  <c r="F30" i="8"/>
  <c r="G30" i="8"/>
  <c r="H30" i="8"/>
  <c r="I30" i="8"/>
  <c r="E30" i="8"/>
  <c r="F26" i="8"/>
  <c r="G26" i="8"/>
  <c r="I26" i="8"/>
  <c r="E26" i="8"/>
  <c r="F91" i="6"/>
  <c r="G91" i="6"/>
  <c r="H91" i="6"/>
  <c r="E91" i="6"/>
  <c r="F23" i="8"/>
  <c r="F48" i="8" s="1"/>
  <c r="G23" i="8"/>
  <c r="G48" i="8" s="1"/>
  <c r="H23" i="8"/>
  <c r="H48" i="8" s="1"/>
  <c r="I23" i="8"/>
  <c r="I48" i="8" s="1"/>
  <c r="E23" i="8"/>
  <c r="E48" i="8" s="1"/>
  <c r="E20" i="8"/>
  <c r="E42" i="8" s="1"/>
  <c r="F20" i="8"/>
  <c r="G20" i="8"/>
  <c r="H20" i="8"/>
  <c r="I20" i="8"/>
  <c r="D68" i="6"/>
  <c r="D70" i="6" s="1"/>
  <c r="E68" i="6"/>
  <c r="E70" i="6" s="1"/>
  <c r="D62" i="6"/>
  <c r="E62" i="6"/>
  <c r="D56" i="6"/>
  <c r="E56" i="6"/>
  <c r="D47" i="6"/>
  <c r="D49" i="6" s="1"/>
  <c r="D71" i="6" s="1"/>
  <c r="E47" i="6"/>
  <c r="E49" i="6" s="1"/>
  <c r="E71" i="6" s="1"/>
  <c r="I38" i="6"/>
  <c r="D42" i="6"/>
  <c r="E42" i="6"/>
  <c r="E32" i="6"/>
  <c r="F32" i="6"/>
  <c r="E33" i="6"/>
  <c r="F33" i="6"/>
  <c r="E24" i="6"/>
  <c r="F24" i="6"/>
  <c r="D22" i="6"/>
  <c r="E22" i="6"/>
  <c r="D21" i="6"/>
  <c r="E21" i="6"/>
  <c r="E20" i="6"/>
  <c r="F20" i="6"/>
  <c r="D9" i="6"/>
  <c r="D13" i="6" s="1"/>
  <c r="D16" i="6" s="1"/>
  <c r="E9" i="6"/>
  <c r="E13" i="6" s="1"/>
  <c r="E16" i="6" s="1"/>
  <c r="C5" i="8"/>
  <c r="J72" i="8" s="1"/>
  <c r="J74" i="8" s="1"/>
  <c r="K74" i="8" l="1"/>
  <c r="L74" i="8" s="1"/>
  <c r="M74" i="8" s="1"/>
  <c r="N74" i="8" s="1"/>
  <c r="E55" i="8"/>
  <c r="E56" i="8" s="1"/>
  <c r="E27" i="8"/>
  <c r="F60" i="8"/>
  <c r="F31" i="8"/>
  <c r="H31" i="8"/>
  <c r="H60" i="8"/>
  <c r="H55" i="8"/>
  <c r="H56" i="8" s="1"/>
  <c r="H27" i="8"/>
  <c r="I31" i="8"/>
  <c r="I60" i="8"/>
  <c r="G55" i="8"/>
  <c r="G56" i="8" s="1"/>
  <c r="G27" i="8"/>
  <c r="E35" i="8"/>
  <c r="E63" i="8"/>
  <c r="E64" i="8" s="1"/>
  <c r="G60" i="8"/>
  <c r="G31" i="8"/>
  <c r="F55" i="8"/>
  <c r="F56" i="8" s="1"/>
  <c r="F27" i="8"/>
  <c r="I35" i="8"/>
  <c r="I63" i="8"/>
  <c r="G35" i="8"/>
  <c r="G63" i="8"/>
  <c r="F35" i="8"/>
  <c r="F63" i="8"/>
  <c r="I55" i="8"/>
  <c r="I56" i="8" s="1"/>
  <c r="I27" i="8"/>
  <c r="E31" i="8"/>
  <c r="E60" i="8"/>
  <c r="H35" i="8"/>
  <c r="H63" i="8"/>
  <c r="E67" i="8"/>
  <c r="I95" i="6"/>
  <c r="J95" i="6" s="1"/>
  <c r="K95" i="6" s="1"/>
  <c r="L95" i="6" s="1"/>
  <c r="M95" i="6" s="1"/>
  <c r="E49" i="8"/>
  <c r="G32" i="8"/>
  <c r="G43" i="8"/>
  <c r="H43" i="8"/>
  <c r="F43" i="8"/>
  <c r="I42" i="8"/>
  <c r="I49" i="8" s="1"/>
  <c r="H42" i="8"/>
  <c r="H49" i="8" s="1"/>
  <c r="G42" i="8"/>
  <c r="G49" i="8" s="1"/>
  <c r="F42" i="8"/>
  <c r="F49" i="8" s="1"/>
  <c r="I43" i="8"/>
  <c r="E32" i="8"/>
  <c r="F38" i="8"/>
  <c r="E38" i="8"/>
  <c r="H39" i="8"/>
  <c r="F39" i="8"/>
  <c r="H32" i="8"/>
  <c r="G39" i="8"/>
  <c r="I32" i="8"/>
  <c r="I39" i="8"/>
  <c r="F32" i="8"/>
  <c r="I38" i="8"/>
  <c r="H38" i="8"/>
  <c r="G38" i="8"/>
  <c r="F21" i="8"/>
  <c r="I21" i="8"/>
  <c r="E24" i="8"/>
  <c r="G24" i="8"/>
  <c r="H21" i="8"/>
  <c r="G21" i="8"/>
  <c r="H24" i="8"/>
  <c r="F24" i="8"/>
  <c r="I24" i="8"/>
  <c r="E72" i="6"/>
  <c r="D72" i="6"/>
  <c r="E23" i="6"/>
  <c r="D23" i="6"/>
  <c r="I64" i="8" l="1"/>
  <c r="I67" i="8"/>
  <c r="G67" i="8"/>
  <c r="F67" i="8"/>
  <c r="F64" i="8"/>
  <c r="H64" i="8"/>
  <c r="H67" i="8"/>
  <c r="G64" i="8"/>
  <c r="J56" i="8"/>
  <c r="H32" i="6"/>
  <c r="I32" i="6" s="1"/>
  <c r="G32" i="6"/>
  <c r="H33" i="6"/>
  <c r="G33" i="6"/>
  <c r="I66" i="6"/>
  <c r="J66" i="6" s="1"/>
  <c r="K66" i="6" s="1"/>
  <c r="J38" i="6"/>
  <c r="K38" i="6" s="1"/>
  <c r="L38" i="6" s="1"/>
  <c r="I83" i="6"/>
  <c r="I79" i="6"/>
  <c r="I81" i="6" s="1"/>
  <c r="J76" i="6"/>
  <c r="K76" i="6" s="1"/>
  <c r="L76" i="6" s="1"/>
  <c r="M76" i="6" s="1"/>
  <c r="I75" i="6"/>
  <c r="I77" i="6" s="1"/>
  <c r="J75" i="6" s="1"/>
  <c r="I45" i="6"/>
  <c r="J45" i="6" s="1"/>
  <c r="K45" i="6" s="1"/>
  <c r="L45" i="6" s="1"/>
  <c r="M45" i="6" s="1"/>
  <c r="I60" i="6"/>
  <c r="J60" i="6" s="1"/>
  <c r="K60" i="6" s="1"/>
  <c r="L60" i="6" s="1"/>
  <c r="M60" i="6" s="1"/>
  <c r="H68" i="6"/>
  <c r="G68" i="6"/>
  <c r="F68" i="6"/>
  <c r="I61" i="6"/>
  <c r="J61" i="6" s="1"/>
  <c r="K61" i="6" s="1"/>
  <c r="L61" i="6" s="1"/>
  <c r="M61" i="6" s="1"/>
  <c r="I59" i="6"/>
  <c r="J59" i="6" s="1"/>
  <c r="K59" i="6" s="1"/>
  <c r="L59" i="6" s="1"/>
  <c r="M59" i="6" s="1"/>
  <c r="H56" i="6"/>
  <c r="H62" i="6" s="1"/>
  <c r="G56" i="6"/>
  <c r="G62" i="6" s="1"/>
  <c r="F56" i="6"/>
  <c r="F62" i="6" s="1"/>
  <c r="I30" i="6"/>
  <c r="I29" i="6"/>
  <c r="J29" i="6" s="1"/>
  <c r="K29" i="6" s="1"/>
  <c r="L29" i="6" s="1"/>
  <c r="M29" i="6" s="1"/>
  <c r="G24" i="6"/>
  <c r="H24" i="6"/>
  <c r="H47" i="6"/>
  <c r="G47" i="6"/>
  <c r="F47" i="6"/>
  <c r="H42" i="6"/>
  <c r="G42" i="6"/>
  <c r="F42" i="6"/>
  <c r="H22" i="6"/>
  <c r="G22" i="6"/>
  <c r="F22" i="6"/>
  <c r="F21" i="6"/>
  <c r="G21" i="6"/>
  <c r="H21" i="6"/>
  <c r="G20" i="6"/>
  <c r="H20" i="6"/>
  <c r="F9" i="6"/>
  <c r="F13" i="6" s="1"/>
  <c r="G9" i="6"/>
  <c r="G13" i="6" s="1"/>
  <c r="H9" i="6"/>
  <c r="H13" i="6" s="1"/>
  <c r="H16" i="6" s="1"/>
  <c r="I3" i="6"/>
  <c r="J3" i="6" s="1"/>
  <c r="K3" i="6" s="1"/>
  <c r="L3" i="6" s="1"/>
  <c r="M3" i="6" s="1"/>
  <c r="G3" i="6"/>
  <c r="F3" i="6" s="1"/>
  <c r="K56" i="8" l="1"/>
  <c r="L56" i="8" s="1"/>
  <c r="M56" i="8" s="1"/>
  <c r="N56" i="8" s="1"/>
  <c r="D18" i="9"/>
  <c r="D22" i="9" s="1"/>
  <c r="L13" i="8" s="1"/>
  <c r="J64" i="8"/>
  <c r="K64" i="8" s="1"/>
  <c r="L64" i="8" s="1"/>
  <c r="M64" i="8" s="1"/>
  <c r="N64" i="8" s="1"/>
  <c r="J67" i="8"/>
  <c r="K67" i="8" s="1"/>
  <c r="L67" i="8" s="1"/>
  <c r="M67" i="8" s="1"/>
  <c r="N67" i="8" s="1"/>
  <c r="J32" i="6"/>
  <c r="I12" i="6"/>
  <c r="I33" i="6"/>
  <c r="H70" i="6"/>
  <c r="G70" i="6"/>
  <c r="I65" i="6"/>
  <c r="J79" i="6"/>
  <c r="J81" i="6" s="1"/>
  <c r="J77" i="6"/>
  <c r="J64" i="6" s="1"/>
  <c r="L66" i="6"/>
  <c r="M38" i="6"/>
  <c r="I64" i="6"/>
  <c r="I46" i="6"/>
  <c r="F70" i="6"/>
  <c r="I22" i="6"/>
  <c r="I53" i="6" s="1"/>
  <c r="J30" i="6"/>
  <c r="K30" i="6" s="1"/>
  <c r="L30" i="6" s="1"/>
  <c r="M30" i="6" s="1"/>
  <c r="F49" i="6"/>
  <c r="F71" i="6" s="1"/>
  <c r="G49" i="6"/>
  <c r="G71" i="6" s="1"/>
  <c r="H49" i="6"/>
  <c r="H71" i="6" s="1"/>
  <c r="I51" i="6"/>
  <c r="G16" i="6"/>
  <c r="G23" i="6"/>
  <c r="I21" i="6"/>
  <c r="F23" i="6"/>
  <c r="F16" i="6"/>
  <c r="H23" i="6"/>
  <c r="P13" i="8" l="1"/>
  <c r="H13" i="8"/>
  <c r="D15" i="8"/>
  <c r="H72" i="6"/>
  <c r="J33" i="6"/>
  <c r="I11" i="6"/>
  <c r="G72" i="6"/>
  <c r="K32" i="6"/>
  <c r="K75" i="6"/>
  <c r="K77" i="6" s="1"/>
  <c r="L75" i="6" s="1"/>
  <c r="L77" i="6" s="1"/>
  <c r="J65" i="6"/>
  <c r="K79" i="6"/>
  <c r="K81" i="6" s="1"/>
  <c r="F72" i="6"/>
  <c r="M66" i="6"/>
  <c r="J22" i="6"/>
  <c r="K22" i="6" s="1"/>
  <c r="L22" i="6" s="1"/>
  <c r="M22" i="6" s="1"/>
  <c r="I55" i="6"/>
  <c r="J21" i="6"/>
  <c r="K21" i="6" s="1"/>
  <c r="I52" i="6"/>
  <c r="J52" i="6" s="1"/>
  <c r="J46" i="6"/>
  <c r="K46" i="6" s="1"/>
  <c r="L46" i="6" s="1"/>
  <c r="M46" i="6" s="1"/>
  <c r="I41" i="6"/>
  <c r="I39" i="6"/>
  <c r="I27" i="6"/>
  <c r="J34" i="8" s="1"/>
  <c r="I26" i="6"/>
  <c r="J30" i="8" s="1"/>
  <c r="I6" i="6"/>
  <c r="J20" i="6"/>
  <c r="K20" i="6" s="1"/>
  <c r="L20" i="6" s="1"/>
  <c r="M20" i="6" s="1"/>
  <c r="J32" i="8" l="1"/>
  <c r="J20" i="8"/>
  <c r="J21" i="8" s="1"/>
  <c r="J45" i="8" s="1"/>
  <c r="K64" i="6"/>
  <c r="I8" i="6"/>
  <c r="L32" i="6"/>
  <c r="J53" i="6"/>
  <c r="K53" i="6" s="1"/>
  <c r="L53" i="6" s="1"/>
  <c r="M53" i="6" s="1"/>
  <c r="K33" i="6"/>
  <c r="L33" i="6" s="1"/>
  <c r="M33" i="6" s="1"/>
  <c r="L79" i="6"/>
  <c r="L81" i="6" s="1"/>
  <c r="K65" i="6"/>
  <c r="J23" i="6"/>
  <c r="K23" i="6" s="1"/>
  <c r="I54" i="6"/>
  <c r="M75" i="6"/>
  <c r="M77" i="6" s="1"/>
  <c r="M64" i="6" s="1"/>
  <c r="L64" i="6"/>
  <c r="J41" i="6"/>
  <c r="K41" i="6" s="1"/>
  <c r="L41" i="6" s="1"/>
  <c r="M41" i="6" s="1"/>
  <c r="K52" i="6"/>
  <c r="J55" i="6"/>
  <c r="K55" i="6" s="1"/>
  <c r="L55" i="6" s="1"/>
  <c r="M55" i="6" s="1"/>
  <c r="J51" i="6"/>
  <c r="I7" i="6"/>
  <c r="I24" i="6" s="1"/>
  <c r="I40" i="6" s="1"/>
  <c r="J26" i="6"/>
  <c r="I44" i="6"/>
  <c r="I47" i="6" s="1"/>
  <c r="J27" i="6"/>
  <c r="J39" i="6"/>
  <c r="J6" i="6"/>
  <c r="L21" i="6"/>
  <c r="J35" i="8" l="1"/>
  <c r="J31" i="8"/>
  <c r="J61" i="8" s="1"/>
  <c r="K26" i="6"/>
  <c r="K30" i="8"/>
  <c r="J46" i="8"/>
  <c r="J44" i="8"/>
  <c r="J43" i="8" s="1"/>
  <c r="K6" i="6"/>
  <c r="L6" i="6" s="1"/>
  <c r="J93" i="6"/>
  <c r="K20" i="8"/>
  <c r="K21" i="8" s="1"/>
  <c r="K27" i="6"/>
  <c r="K34" i="8"/>
  <c r="M32" i="6"/>
  <c r="M79" i="6"/>
  <c r="M81" i="6" s="1"/>
  <c r="M65" i="6" s="1"/>
  <c r="L65" i="6"/>
  <c r="J54" i="6"/>
  <c r="K54" i="6" s="1"/>
  <c r="I56" i="6"/>
  <c r="L52" i="6"/>
  <c r="K51" i="6"/>
  <c r="J8" i="6"/>
  <c r="I9" i="6"/>
  <c r="J23" i="8" s="1"/>
  <c r="J24" i="8" s="1"/>
  <c r="J51" i="8" s="1"/>
  <c r="J7" i="6"/>
  <c r="J24" i="6" s="1"/>
  <c r="J40" i="6" s="1"/>
  <c r="J44" i="6"/>
  <c r="K39" i="6"/>
  <c r="L23" i="6"/>
  <c r="M21" i="6"/>
  <c r="K31" i="8" l="1"/>
  <c r="K61" i="8" s="1"/>
  <c r="K35" i="8"/>
  <c r="J42" i="8"/>
  <c r="J66" i="8" s="1"/>
  <c r="J52" i="8"/>
  <c r="K52" i="8" s="1"/>
  <c r="L52" i="8" s="1"/>
  <c r="M52" i="8" s="1"/>
  <c r="K50" i="8"/>
  <c r="K8" i="6"/>
  <c r="K7" i="6"/>
  <c r="K9" i="6" s="1"/>
  <c r="L23" i="8" s="1"/>
  <c r="K93" i="6"/>
  <c r="L20" i="8"/>
  <c r="L21" i="8" s="1"/>
  <c r="K32" i="8"/>
  <c r="L7" i="6"/>
  <c r="M20" i="8"/>
  <c r="L93" i="6"/>
  <c r="L27" i="6"/>
  <c r="L34" i="8"/>
  <c r="L26" i="6"/>
  <c r="L30" i="8"/>
  <c r="L31" i="8" s="1"/>
  <c r="L61" i="8" s="1"/>
  <c r="L54" i="6"/>
  <c r="M52" i="6"/>
  <c r="J56" i="6"/>
  <c r="L51" i="6"/>
  <c r="K56" i="6"/>
  <c r="K24" i="6"/>
  <c r="K40" i="6" s="1"/>
  <c r="K44" i="6"/>
  <c r="J47" i="6"/>
  <c r="J9" i="6"/>
  <c r="K23" i="8" s="1"/>
  <c r="K24" i="8" s="1"/>
  <c r="K51" i="8" s="1"/>
  <c r="L51" i="8" s="1"/>
  <c r="M51" i="8" s="1"/>
  <c r="L39" i="6"/>
  <c r="M23" i="6"/>
  <c r="M6" i="6"/>
  <c r="L8" i="6"/>
  <c r="L35" i="8" l="1"/>
  <c r="J60" i="8"/>
  <c r="J63" i="8"/>
  <c r="K42" i="8"/>
  <c r="K66" i="8" s="1"/>
  <c r="L50" i="8"/>
  <c r="K49" i="8"/>
  <c r="L24" i="8"/>
  <c r="M21" i="8"/>
  <c r="L24" i="6"/>
  <c r="L40" i="6" s="1"/>
  <c r="L32" i="8"/>
  <c r="M26" i="6"/>
  <c r="N30" i="8" s="1"/>
  <c r="M30" i="8"/>
  <c r="M31" i="8" s="1"/>
  <c r="M61" i="8" s="1"/>
  <c r="L9" i="6"/>
  <c r="M23" i="8" s="1"/>
  <c r="M24" i="8" s="1"/>
  <c r="M27" i="6"/>
  <c r="N34" i="8" s="1"/>
  <c r="N35" i="8" s="1"/>
  <c r="M34" i="8"/>
  <c r="M35" i="8" s="1"/>
  <c r="M93" i="6"/>
  <c r="N20" i="8"/>
  <c r="N21" i="8" s="1"/>
  <c r="M54" i="6"/>
  <c r="M51" i="6"/>
  <c r="L56" i="6"/>
  <c r="L44" i="6"/>
  <c r="K47" i="6"/>
  <c r="M39" i="6"/>
  <c r="M8" i="6"/>
  <c r="M7" i="6"/>
  <c r="N31" i="8" l="1"/>
  <c r="N61" i="8" s="1"/>
  <c r="K60" i="8"/>
  <c r="K63" i="8"/>
  <c r="L42" i="8"/>
  <c r="L66" i="8" s="1"/>
  <c r="K48" i="8"/>
  <c r="M50" i="8"/>
  <c r="M49" i="8" s="1"/>
  <c r="L49" i="8"/>
  <c r="N32" i="8"/>
  <c r="M32" i="8"/>
  <c r="M56" i="6"/>
  <c r="M44" i="6"/>
  <c r="M47" i="6" s="1"/>
  <c r="L47" i="6"/>
  <c r="M9" i="6"/>
  <c r="N23" i="8" s="1"/>
  <c r="N24" i="8" s="1"/>
  <c r="M24" i="6"/>
  <c r="M40" i="6" s="1"/>
  <c r="L60" i="8" l="1"/>
  <c r="L63" i="8"/>
  <c r="M42" i="8"/>
  <c r="M66" i="8" s="1"/>
  <c r="L48" i="8"/>
  <c r="J58" i="6"/>
  <c r="I62" i="6"/>
  <c r="M60" i="8" l="1"/>
  <c r="M63" i="8"/>
  <c r="N42" i="8"/>
  <c r="N66" i="8" s="1"/>
  <c r="M48" i="8"/>
  <c r="K58" i="6"/>
  <c r="K12" i="6" s="1"/>
  <c r="J12" i="6"/>
  <c r="J62" i="6"/>
  <c r="N63" i="8" l="1"/>
  <c r="N48" i="8"/>
  <c r="N60" i="8"/>
  <c r="K62" i="6"/>
  <c r="L58" i="6"/>
  <c r="L12" i="6" s="1"/>
  <c r="I13" i="6"/>
  <c r="M58" i="6" l="1"/>
  <c r="L62" i="6"/>
  <c r="M62" i="6"/>
  <c r="M12" i="6"/>
  <c r="I15" i="6"/>
  <c r="I16" i="6" l="1"/>
  <c r="I84" i="6" s="1"/>
  <c r="I86" i="6" s="1"/>
  <c r="J26" i="8"/>
  <c r="J27" i="8" s="1"/>
  <c r="J83" i="6"/>
  <c r="I67" i="6"/>
  <c r="I68" i="6" s="1"/>
  <c r="I70" i="6" s="1"/>
  <c r="I37" i="6" s="1"/>
  <c r="J11" i="6" l="1"/>
  <c r="J13" i="6" s="1"/>
  <c r="J15" i="6" s="1"/>
  <c r="I91" i="6"/>
  <c r="I42" i="6"/>
  <c r="I49" i="6" s="1"/>
  <c r="I71" i="6" s="1"/>
  <c r="I72" i="6" s="1"/>
  <c r="J16" i="6" l="1"/>
  <c r="J84" i="6" s="1"/>
  <c r="J86" i="6" s="1"/>
  <c r="K83" i="6" s="1"/>
  <c r="K26" i="8"/>
  <c r="K27" i="8" s="1"/>
  <c r="J67" i="6"/>
  <c r="J68" i="6" s="1"/>
  <c r="J70" i="6" s="1"/>
  <c r="J37" i="6" s="1"/>
  <c r="K11" i="6" l="1"/>
  <c r="K13" i="6" s="1"/>
  <c r="K15" i="6" s="1"/>
  <c r="J91" i="6"/>
  <c r="J42" i="6"/>
  <c r="J49" i="6" s="1"/>
  <c r="J71" i="6" s="1"/>
  <c r="J72" i="6" s="1"/>
  <c r="K16" i="6" l="1"/>
  <c r="K84" i="6" s="1"/>
  <c r="K86" i="6" s="1"/>
  <c r="L26" i="8"/>
  <c r="L27" i="8" s="1"/>
  <c r="K67" i="6" l="1"/>
  <c r="K68" i="6" s="1"/>
  <c r="K70" i="6" s="1"/>
  <c r="K37" i="6" s="1"/>
  <c r="L83" i="6"/>
  <c r="L11" i="6" l="1"/>
  <c r="L13" i="6" s="1"/>
  <c r="L15" i="6" s="1"/>
  <c r="K91" i="6"/>
  <c r="K42" i="6"/>
  <c r="K49" i="6" s="1"/>
  <c r="K71" i="6" s="1"/>
  <c r="K72" i="6" s="1"/>
  <c r="L16" i="6" l="1"/>
  <c r="L84" i="6" s="1"/>
  <c r="L86" i="6" s="1"/>
  <c r="M26" i="8"/>
  <c r="M27" i="8" s="1"/>
  <c r="L67" i="6" l="1"/>
  <c r="L68" i="6" s="1"/>
  <c r="L70" i="6" s="1"/>
  <c r="L37" i="6" s="1"/>
  <c r="M83" i="6"/>
  <c r="M11" i="6" l="1"/>
  <c r="M13" i="6" s="1"/>
  <c r="M15" i="6" s="1"/>
  <c r="L91" i="6"/>
  <c r="L42" i="6"/>
  <c r="L49" i="6" s="1"/>
  <c r="L71" i="6" s="1"/>
  <c r="L72" i="6" s="1"/>
  <c r="M16" i="6" l="1"/>
  <c r="M84" i="6" s="1"/>
  <c r="M86" i="6" s="1"/>
  <c r="M67" i="6" s="1"/>
  <c r="M68" i="6" s="1"/>
  <c r="M70" i="6" s="1"/>
  <c r="M37" i="6" s="1"/>
  <c r="N26" i="8"/>
  <c r="N27" i="8" s="1"/>
  <c r="M42" i="6" l="1"/>
  <c r="M49" i="6" s="1"/>
  <c r="M71" i="6" s="1"/>
  <c r="M72" i="6" s="1"/>
  <c r="M91" i="6"/>
  <c r="J49" i="8"/>
  <c r="J48" i="8" s="1"/>
  <c r="J55" i="8" l="1"/>
  <c r="J58" i="8" s="1"/>
  <c r="J69" i="8" s="1"/>
  <c r="J70" i="8" s="1"/>
  <c r="K55" i="8" l="1"/>
  <c r="K58" i="8" s="1"/>
  <c r="K69" i="8" s="1"/>
  <c r="K70" i="8" s="1"/>
  <c r="L55" i="8" l="1"/>
  <c r="L58" i="8" s="1"/>
  <c r="L69" i="8" s="1"/>
  <c r="L70" i="8" s="1"/>
  <c r="M55" i="8" l="1"/>
  <c r="M58" i="8" s="1"/>
  <c r="M69" i="8" s="1"/>
  <c r="M70" i="8" s="1"/>
  <c r="N55" i="8" l="1"/>
  <c r="N58" i="8" s="1"/>
  <c r="N69" i="8" l="1"/>
  <c r="N77" i="8" l="1"/>
  <c r="N76" i="8"/>
  <c r="N70" i="8"/>
  <c r="N78" i="8" s="1"/>
  <c r="N81" i="8" s="1"/>
  <c r="N83" i="8" s="1"/>
  <c r="G4" i="8" s="1"/>
  <c r="L4"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<sst xmlns="http://schemas.openxmlformats.org/spreadsheetml/2006/main" count="181" uniqueCount="131">
  <si>
    <t>Revenue</t>
  </si>
  <si>
    <t>Net Income</t>
  </si>
  <si>
    <t>Income Statement</t>
  </si>
  <si>
    <t>Balance Sheet</t>
  </si>
  <si>
    <t>Long Term Debt</t>
  </si>
  <si>
    <t>Total Assets</t>
  </si>
  <si>
    <t>Projections</t>
  </si>
  <si>
    <t>Actuals</t>
  </si>
  <si>
    <t>$ in millions</t>
  </si>
  <si>
    <t>Cost of Goods Sold</t>
  </si>
  <si>
    <t>Operating Expenses</t>
  </si>
  <si>
    <t>Operating Profit</t>
  </si>
  <si>
    <t>Interest Income</t>
  </si>
  <si>
    <t>Interest Expense</t>
  </si>
  <si>
    <t>Pretax Profit</t>
  </si>
  <si>
    <t>Tax Expense</t>
  </si>
  <si>
    <t>Margins / Growth Rates</t>
  </si>
  <si>
    <t>Gross Profit Margin</t>
  </si>
  <si>
    <t>Operating Expense as % of Revenue</t>
  </si>
  <si>
    <t>Tax Rate</t>
  </si>
  <si>
    <t>Revenue Growth Rate</t>
  </si>
  <si>
    <t>Cash and Equivalents</t>
  </si>
  <si>
    <t>Accounts Receivable</t>
  </si>
  <si>
    <t>Inventory</t>
  </si>
  <si>
    <t>Prepaid Expenses and other WC Assets</t>
  </si>
  <si>
    <t>Current Assets</t>
  </si>
  <si>
    <t>Non Current Assets</t>
  </si>
  <si>
    <t>Short Term Investments</t>
  </si>
  <si>
    <t>Other long-term assets</t>
  </si>
  <si>
    <t>Property plants and equipment</t>
  </si>
  <si>
    <t>Memo: COGS Growth Rate</t>
  </si>
  <si>
    <t>Memo: Depreciation in opex and COGS</t>
  </si>
  <si>
    <t>Memo: Capex</t>
  </si>
  <si>
    <t>Memo: Amortization in opex and COGS</t>
  </si>
  <si>
    <t>Memo: Purchases of Intangibles</t>
  </si>
  <si>
    <t>Acounts Payable</t>
  </si>
  <si>
    <t>Other Current Liabilities</t>
  </si>
  <si>
    <t>Total Current Liabilities</t>
  </si>
  <si>
    <t>Revolver</t>
  </si>
  <si>
    <t>Other Liabilites</t>
  </si>
  <si>
    <t>Total Liabilites</t>
  </si>
  <si>
    <t>Common Stock and APIC</t>
  </si>
  <si>
    <t>Treasury Stock</t>
  </si>
  <si>
    <t>Other Comphrehensive Income</t>
  </si>
  <si>
    <t>Total Equity</t>
  </si>
  <si>
    <t>Total Liablities and Equity</t>
  </si>
  <si>
    <t>Operating lease ROU assets</t>
  </si>
  <si>
    <t>Accrued salaries and benefits</t>
  </si>
  <si>
    <t>Accrued membership rewards</t>
  </si>
  <si>
    <t>Long-Term operating lease liabilities</t>
  </si>
  <si>
    <t>Balance</t>
  </si>
  <si>
    <t>Cash Flow Statement</t>
  </si>
  <si>
    <t>x</t>
  </si>
  <si>
    <t>Schedules</t>
  </si>
  <si>
    <t>Common Stock and APIC - BOP</t>
  </si>
  <si>
    <t>New issuances of Common Stock</t>
  </si>
  <si>
    <t>Common Stock and APIC - EOP</t>
  </si>
  <si>
    <t>Treasury Stock - BOP</t>
  </si>
  <si>
    <t>New Repurchases</t>
  </si>
  <si>
    <t>Treasury Stock - EOP</t>
  </si>
  <si>
    <t>Retained Earnings - BOP</t>
  </si>
  <si>
    <t>Common Dividends</t>
  </si>
  <si>
    <t>Retained Earnings - EOP</t>
  </si>
  <si>
    <t>Total Change in Cash</t>
  </si>
  <si>
    <t>Memo: % Interest Earned on Cash</t>
  </si>
  <si>
    <t>Memo: % Interest Earned on Debt</t>
  </si>
  <si>
    <t>COSTCO DCF</t>
  </si>
  <si>
    <t>Ticker:</t>
  </si>
  <si>
    <t xml:space="preserve">Date: </t>
  </si>
  <si>
    <t>Assumptions</t>
  </si>
  <si>
    <t>Cash Flow Items</t>
  </si>
  <si>
    <t>DCF</t>
  </si>
  <si>
    <t>EBIT</t>
  </si>
  <si>
    <t>% of sales</t>
  </si>
  <si>
    <t>Taxes</t>
  </si>
  <si>
    <t>% of EBIT</t>
  </si>
  <si>
    <t>Deferred membership fees</t>
  </si>
  <si>
    <t>Retained Earnings &amp; Noncontrolling Interests</t>
  </si>
  <si>
    <t>Depreciation &amp; Amortization</t>
  </si>
  <si>
    <t>Capital Expenditures</t>
  </si>
  <si>
    <t>Change in Net Working Capital</t>
  </si>
  <si>
    <t>% of capital expenditures</t>
  </si>
  <si>
    <t>% change in sales</t>
  </si>
  <si>
    <t>Total Change in NWC</t>
  </si>
  <si>
    <t>Memo: Change in NWC % of Revenue</t>
  </si>
  <si>
    <t>EBIAT or NOPAT</t>
  </si>
  <si>
    <t>% growth</t>
  </si>
  <si>
    <t>Optimistic</t>
  </si>
  <si>
    <t>Switches</t>
  </si>
  <si>
    <t>WACC</t>
  </si>
  <si>
    <t>TGR</t>
  </si>
  <si>
    <t>Conservative</t>
  </si>
  <si>
    <t>Street / Base</t>
  </si>
  <si>
    <t>Revenue 2030</t>
  </si>
  <si>
    <t>EBIT 2030</t>
  </si>
  <si>
    <t>Revenue 2027</t>
  </si>
  <si>
    <t>EBIT 2027</t>
  </si>
  <si>
    <t xml:space="preserve"> % growth</t>
  </si>
  <si>
    <t xml:space="preserve"> Conservative Case</t>
  </si>
  <si>
    <t xml:space="preserve"> Street (Base) Case</t>
  </si>
  <si>
    <t xml:space="preserve"> Optimistic Case</t>
  </si>
  <si>
    <t xml:space="preserve"> % of sales</t>
  </si>
  <si>
    <t>Unlevered Free Cash Flow</t>
  </si>
  <si>
    <t>Present Value of Free Cash Flow</t>
  </si>
  <si>
    <t>+ Cash</t>
  </si>
  <si>
    <t>- Debt</t>
  </si>
  <si>
    <t>Terminal Value</t>
  </si>
  <si>
    <t>Present Value of Terminal Value</t>
  </si>
  <si>
    <t>Enterprise Value</t>
  </si>
  <si>
    <t>Equity Value</t>
  </si>
  <si>
    <t>Shares</t>
  </si>
  <si>
    <t>WACC =  (% Equity x Cost of Equity) + (% Debt x Cost of Debt x (1 -Tax rate))</t>
  </si>
  <si>
    <t>Debt</t>
  </si>
  <si>
    <t>Cost of Debt</t>
  </si>
  <si>
    <t>Cost of Equity</t>
  </si>
  <si>
    <t>Risk Free Rate</t>
  </si>
  <si>
    <t>Beta</t>
  </si>
  <si>
    <t>Market Risk Premium</t>
  </si>
  <si>
    <t>Market Cap</t>
  </si>
  <si>
    <t>% of Equity</t>
  </si>
  <si>
    <t>% of Debt</t>
  </si>
  <si>
    <t>Total</t>
  </si>
  <si>
    <t>Year</t>
  </si>
  <si>
    <t>Days left in 2026</t>
  </si>
  <si>
    <t>Discount Period</t>
  </si>
  <si>
    <t>Price per Share (Dollars)</t>
  </si>
  <si>
    <t>Implied Price</t>
  </si>
  <si>
    <t>Current Price</t>
  </si>
  <si>
    <t>Master</t>
  </si>
  <si>
    <t>Implied Upside (Downside)</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</si>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</sst>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0.0\)"/>
    <numFmt numFmtId="165" formatCode="0.0%"/>
    <numFmt numFmtId="166" formatCode="0.00_);\(0.00\)"/>
  </numFmts>
  <fonts count="12" x14ac:knownFonts="1">
    <font>
      <sz val="11"/>
      <color theme="1"/>
      <name val="Aptos Narrow"/>
      <family val="2"/>
      <scheme val="minor"/>
    </font>
    <font>
      <sz val="11"/>
      <color theme="1"/>
      <name val="Aptos Narrow"/>
      <family val="2"/>
      <scheme val="minor"/>
    </font>
    <font>
      <sz val="11"/>
      <color theme="1"/>
      <name val="Times New Roman"/>
      <family val="1"/>
    </font>
    <font>
      <b/>
      <sz val="11"/>
      <color theme="1"/>
      <name val="Times New Roman"/>
      <family val="1"/>
    </font>
    <font>
      <sz val="11"/>
      <color rgb="FF0070C0"/>
      <name val="Times New Roman"/>
      <family val="1"/>
    </font>
    <font>
      <b/>
      <u/>
      <sz val="11"/>
      <color theme="1"/>
      <name val="Times New Roman"/>
      <family val="1"/>
    </font>
    <font>
      <i/>
      <sz val="11"/>
      <color theme="1"/>
      <name val="Times New Roman"/>
      <family val="1"/>
    </font>
    <font>
      <b/>
      <sz val="14"/>
      <color theme="1"/>
      <name val="Times New Roman"/>
      <family val="1"/>
    </font>
    <font>
      <sz val="8"/>
      <name val="Aptos Narrow"/>
      <family val="2"/>
      <scheme val="minor"/>
    </font>
    <font>
      <b/>
      <sz val="16"/>
      <color theme="1"/>
      <name val="Times New Roman"/>
      <family val="1"/>
    </font>
    <font>
      <b/>
      <sz val="11"/>
      <name val="Times New Roman"/>
      <family val="1"/>
    </font>
    <font>
      <sz val="11"/>
      <name val="Times New Roman"/>
      <family val="1"/>
    </font>
  </fonts>
  <fills count="6">
    <fill>
      <patternFill patternType="none"/>
    </fill>
    <fill>
      <patternFill patternType="gray125"/>
    </fill>
    <fill>
      <patternFill patternType="solid">
        <fgColor rgb="FFFFFFCC"/>
        <bgColor indexed="64"/>
      </patternFill>
    </fill>
    <fill>
      <patternFill patternType="solid">
        <fgColor theme="3" tint="0.749992370372631"/>
        <bgColor indexed="64"/>
      </patternFill>
    </fill>
    <fill>
      <patternFill patternType="solid">
        <fgColor theme="0" tint="-4.9989318521683403E-2"/>
        <bgColor indexed="64"/>
      </patternFill>
    </fill>
    <fill>
      <patternFill patternType="solid">
        <fgColor theme="3" tint="0.89999084444715716"/>
        <bgColor indexed="64"/>
      </patternFill>
    </fill>
  </fills>
  <borders count="14">
    <border>
      <left/>
      <right/>
      <top/>
      <bottom/>
      <diagonal/>
    </border>
    <border>
      <left style="dashed">
        <color auto="1"/>
      </left>
      <right style="dashed">
        <color auto="1"/>
      </right>
      <top style="dashed">
        <color auto="1"/>
      </top>
      <bottom style="dashed">
        <color auto="1"/>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right/>
      <top style="hair">
        <color indexed="64"/>
      </top>
      <bottom style="hair">
        <color indexed="64"/>
      </bottom>
      <diagonal/>
    </border>
    <border>
      <left/>
      <right/>
      <top/>
      <bottom style="hair">
        <color indexed="64"/>
      </bottom>
      <diagonal/>
    </border>
    <border>
      <left/>
      <right style="dotted">
        <color indexed="64"/>
      </right>
      <top/>
      <bottom/>
      <diagonal/>
    </border>
    <border>
      <left/>
      <right style="dotted">
        <color indexed="64"/>
      </right>
      <top style="thin">
        <color indexed="64"/>
      </top>
      <bottom style="thin">
        <color indexed="64"/>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59">
    <xf numFmtId="0" fontId="0" fillId="0" borderId="0" xfId="0"/>
    <xf numFmtId="0" fontId="2" fillId="0" borderId="0" xfId="0" applyFont="1"/>
    <xf numFmtId="0" fontId="3" fillId="0" borderId="0" xfId="0" applyFont="1" applyAlignment="1">
      <alignment horizontal="centerContinuous"/>
    </xf>
    <xf numFmtId="0" fontId="2" fillId="0" borderId="0" xfId="0" applyFont="1" applyAlignment="1">
      <alignment horizontal="centerContinuous"/>
    </xf>
    <xf numFmtId="0" fontId="3" fillId="0" borderId="0" xfId="0" applyFont="1"/>
    <xf numFmtId="164" fontId="2" fillId="0" borderId="0" xfId="0" applyNumberFormat="1" applyFont="1"/>
    <xf numFmtId="164" fontId="3" fillId="0" borderId="0" xfId="0" applyNumberFormat="1" applyFont="1"/>
    <xf numFmtId="164" fontId="4" fillId="0" borderId="0" xfId="0" applyNumberFormat="1" applyFont="1"/>
    <xf numFmtId="0" fontId="5" fillId="0" borderId="0" xfId="0" applyFont="1"/>
    <xf numFmtId="165" fontId="2" fillId="0" borderId="0" xfId="1" applyNumberFormat="1" applyFont="1"/>
    <xf numFmtId="165" fontId="2" fillId="0" borderId="0" xfId="0" applyNumberFormat="1" applyFont="1"/>
    <xf numFmtId="0" fontId="6" fillId="0" borderId="0" xfId="0" applyFont="1"/>
    <xf numFmtId="164" fontId="2" fillId="0" borderId="0" xfId="0" quotePrefix="1" applyNumberFormat="1" applyFont="1"/>
    <xf numFmtId="0" fontId="7" fillId="0" borderId="0" xfId="0" applyFont="1"/>
    <xf numFmtId="0" fontId="2" fillId="0" borderId="0" xfId="0" applyFont="1" applyAlignment="1">
      <alignment horizontal="center"/>
    </xf>
    <xf numFmtId="0" fontId="2" fillId="2" borderId="1" xfId="0" applyFont="1" applyFill="1" applyBorder="1" applyAlignment="1">
      <alignment horizontal="center"/>
    </xf>
    <xf numFmtId="14" fontId="2" fillId="2" borderId="1" xfId="0" applyNumberFormat="1" applyFont="1" applyFill="1" applyBorder="1" applyAlignment="1">
      <alignment horizontal="center"/>
    </xf>
    <xf numFmtId="0" fontId="3" fillId="3" borderId="0" xfId="0" applyFont="1" applyFill="1"/>
    <xf numFmtId="0" fontId="2" fillId="3" borderId="0" xfId="0" applyFont="1" applyFill="1"/>
    <xf numFmtId="165" fontId="2" fillId="2" borderId="3" xfId="1" applyNumberFormat="1" applyFont="1" applyFill="1" applyBorder="1"/>
    <xf numFmtId="165" fontId="2" fillId="2" borderId="2" xfId="1" applyNumberFormat="1" applyFont="1" applyFill="1" applyBorder="1"/>
    <xf numFmtId="165" fontId="2" fillId="2" borderId="4" xfId="1" applyNumberFormat="1" applyFont="1" applyFill="1" applyBorder="1"/>
    <xf numFmtId="0" fontId="2" fillId="2" borderId="2" xfId="0" applyFont="1" applyFill="1" applyBorder="1"/>
    <xf numFmtId="9" fontId="2" fillId="2" borderId="2" xfId="0" applyNumberFormat="1" applyFont="1" applyFill="1" applyBorder="1"/>
    <xf numFmtId="10" fontId="2" fillId="2" borderId="2" xfId="0" applyNumberFormat="1" applyFont="1" applyFill="1" applyBorder="1"/>
    <xf numFmtId="0" fontId="2" fillId="0" borderId="5" xfId="0" applyFont="1" applyBorder="1"/>
    <xf numFmtId="0" fontId="2" fillId="0" borderId="6" xfId="0" applyFont="1" applyBorder="1"/>
    <xf numFmtId="164" fontId="2" fillId="0" borderId="6" xfId="0" applyNumberFormat="1" applyFont="1" applyBorder="1"/>
    <xf numFmtId="164" fontId="2" fillId="0" borderId="7" xfId="0" applyNumberFormat="1" applyFont="1" applyBorder="1"/>
    <xf numFmtId="9" fontId="2" fillId="2" borderId="3" xfId="0" applyNumberFormat="1" applyFont="1" applyFill="1" applyBorder="1"/>
    <xf numFmtId="10" fontId="2" fillId="2" borderId="3" xfId="0" applyNumberFormat="1" applyFont="1" applyFill="1" applyBorder="1"/>
    <xf numFmtId="165" fontId="2" fillId="2" borderId="9" xfId="1" applyNumberFormat="1" applyFont="1" applyFill="1" applyBorder="1"/>
    <xf numFmtId="165" fontId="2" fillId="2" borderId="10" xfId="1" applyNumberFormat="1" applyFont="1" applyFill="1" applyBorder="1"/>
    <xf numFmtId="0" fontId="2" fillId="0" borderId="11" xfId="0" applyFont="1" applyBorder="1"/>
    <xf numFmtId="0" fontId="3" fillId="3" borderId="11" xfId="0" applyFont="1" applyFill="1" applyBorder="1"/>
    <xf numFmtId="164" fontId="2" fillId="0" borderId="11" xfId="0" applyNumberFormat="1" applyFont="1" applyBorder="1"/>
    <xf numFmtId="165" fontId="2" fillId="0" borderId="11" xfId="1" applyNumberFormat="1" applyFont="1" applyBorder="1"/>
    <xf numFmtId="0" fontId="3" fillId="0" borderId="11" xfId="0" applyFont="1" applyBorder="1"/>
    <xf numFmtId="165" fontId="2" fillId="0" borderId="11" xfId="0" applyNumberFormat="1" applyFont="1" applyBorder="1"/>
    <xf numFmtId="0" fontId="2" fillId="0" borderId="12" xfId="0" applyFont="1" applyBorder="1"/>
    <xf numFmtId="0" fontId="2" fillId="0" borderId="0" xfId="0" quotePrefix="1" applyFont="1"/>
    <xf numFmtId="0" fontId="2" fillId="0" borderId="13" xfId="0" applyFont="1" applyBorder="1"/>
    <xf numFmtId="0" fontId="9" fillId="0" borderId="13" xfId="0" applyFont="1" applyBorder="1"/>
    <xf numFmtId="9" fontId="2" fillId="0" borderId="0" xfId="1" applyFont="1"/>
    <xf numFmtId="0" fontId="3" fillId="4" borderId="5" xfId="0" applyFont="1" applyFill="1" applyBorder="1"/>
    <xf numFmtId="0" fontId="2" fillId="4" borderId="6" xfId="0" applyFont="1" applyFill="1" applyBorder="1"/>
    <xf numFmtId="10" fontId="3" fillId="4" borderId="7" xfId="0" applyNumberFormat="1" applyFont="1" applyFill="1" applyBorder="1"/>
    <xf numFmtId="0" fontId="10" fillId="3" borderId="0" xfId="0" applyFont="1" applyFill="1"/>
    <xf numFmtId="0" fontId="11" fillId="3" borderId="0" xfId="0" applyFont="1" applyFill="1"/>
    <xf numFmtId="165" fontId="2" fillId="5" borderId="8" xfId="0" applyNumberFormat="1" applyFont="1" applyFill="1" applyBorder="1" applyAlignment="1">
      <alignment horizontal="right"/>
    </xf>
    <xf numFmtId="0" fontId="2" fillId="5" borderId="0" xfId="0" applyFont="1" applyFill="1"/>
    <xf numFmtId="39" fontId="2" fillId="5" borderId="8" xfId="0" applyNumberFormat="1" applyFont="1" applyFill="1" applyBorder="1"/>
    <xf numFmtId="0" fontId="2" fillId="5" borderId="8" xfId="0" applyFont="1" applyFill="1" applyBorder="1"/>
    <xf numFmtId="3" fontId="2" fillId="0" borderId="8" xfId="0" applyNumberFormat="1" applyFont="1" applyBorder="1"/>
    <xf numFmtId="166" fontId="2" fillId="0" borderId="0" xfId="0" applyNumberFormat="1" applyFont="1"/>
    <xf numFmtId="0" fontId="2" fillId="5" borderId="11" xfId="0" applyFont="1" applyFill="1" applyBorder="1"/>
    <xf numFmtId="164" fontId="2" fillId="5" borderId="0" xfId="0" applyNumberFormat="1" applyFont="1" applyFill="1"/>
    <xf numFmtId="164" fontId="2" fillId="2" borderId="2" xfId="0" applyNumberFormat="1" applyFont="1" applyFill="1" applyBorder="1"/>
    <xf numFmtId="0" fontId="3"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FFFFCC"/>
      <color rgb="FFFFE999"/>
      <color rgb="FFFFFF99"/>
      <color rgb="FF9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https://www.bing.com/financeapi/forcetrigger?t=a1q6k2&amp;q=XNAS%3aCOST&amp;form=skydnc</v>
    <v>Learn more on Bing</v>
  </rv>
  <rv s="1">
    <v>en-US</v>
    <v>a1q6k2</v>
    <v>268435456</v>
    <v>1</v>
    <v>Powered by Refinitiv</v>
    <v>0</v>
    <v>COSTCO WHOLESALE CORPORATION (XNAS:COST)</v>
    <v>2</v>
    <v>3</v>
    <v>Finance</v>
    <v>4</v>
    <v>1078.2349999999999</v>
    <v>844.06</v>
    <v>1.0017</v>
    <v>-11.34</v>
    <v>-1.3289999999999999E-3</v>
    <v>-1.1917000000000001E-2</v>
    <v>-1.25</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951.12</v>
    <v>Diversified Retail</v>
    <v>Stock</v>
    <v>46053.041001608595</v>
    <v>0</v>
    <v>930.3</v>
    <v>417348203350</v>
    <v>COSTCO WHOLESALE CORPORATION</v>
    <v>COSTCO WHOLESALE CORPORATION</v>
    <v>948.83</v>
    <v>50.366399999999999</v>
    <v>951.59</v>
    <v>940.25</v>
    <v>939</v>
    <v>443869400</v>
    <v>COST</v>
    <v>COSTCO WHOLESALE CORPORATION (XNAS:COST)</v>
    <v>2396325</v>
    <v>2520157</v>
    <v>1987</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F37E-9D1A-4503-B8AD-09D76B31B31A}">
  <dimension ref="A1:M112"/>
  <sheetViews>
    <sheetView showGridLines="0" zoomScale="89" zoomScaleNormal="100" workbookViewId="0">
      <selection activeCell="I23" sqref="I23"/>
    </sheetView>
  </sheetViews>
  <sheetFormatPr defaultRowHeight="14" x14ac:dyDescent="0.3"/>
  <cols>
    <col min="1" max="2" width="8.7265625" style="1"/>
    <col min="3" max="3" width="38.453125" style="1" bestFit="1" customWidth="1"/>
    <col min="4" max="13" width="10.6328125" style="1" customWidth="1"/>
    <col min="14" max="16384" width="8.7265625" style="1"/>
  </cols>
  <sheetData>
    <row r="1" spans="1:13" ht="14.5" customHeight="1" x14ac:dyDescent="0.3">
      <c r="A1" s="1" t="s">
        <v>8</v>
      </c>
      <c r="D1" s="58" t="s">
        <v>7</v>
      </c>
      <c r="E1" s="58"/>
      <c r="F1" s="58"/>
      <c r="G1" s="58"/>
      <c r="H1" s="58"/>
    </row>
    <row r="2" spans="1:13" x14ac:dyDescent="0.3">
      <c r="D2" s="58"/>
      <c r="E2" s="58"/>
      <c r="F2" s="58"/>
      <c r="G2" s="58"/>
      <c r="H2" s="58"/>
      <c r="I2" s="2" t="s">
        <v>6</v>
      </c>
      <c r="J2" s="3"/>
      <c r="K2" s="3"/>
      <c r="L2" s="3"/>
      <c r="M2" s="3"/>
    </row>
    <row r="3" spans="1:13" x14ac:dyDescent="0.3">
      <c r="D3" s="1">
        <v>2021</v>
      </c>
      <c r="E3" s="1">
        <v>2022</v>
      </c>
      <c r="F3" s="1">
        <f>G3-1</f>
        <v>2023</v>
      </c>
      <c r="G3" s="1">
        <f>H3-1</f>
        <v>2024</v>
      </c>
      <c r="H3" s="1">
        <v>2025</v>
      </c>
      <c r="I3" s="1">
        <f>H3+1</f>
        <v>2026</v>
      </c>
      <c r="J3" s="1">
        <f t="shared" ref="J3:L3" si="0">I3+1</f>
        <v>2027</v>
      </c>
      <c r="K3" s="1">
        <f t="shared" si="0"/>
        <v>2028</v>
      </c>
      <c r="L3" s="1">
        <f t="shared" si="0"/>
        <v>2029</v>
      </c>
      <c r="M3" s="1">
        <f>L3+1</f>
        <v>2030</v>
      </c>
    </row>
    <row r="4" spans="1:13" x14ac:dyDescent="0.3">
      <c r="B4" s="1" t="s">
        <v>52</v>
      </c>
      <c r="C4" s="4" t="s">
        <v>2</v>
      </c>
      <c r="D4" s="4"/>
      <c r="E4" s="4"/>
    </row>
    <row r="5" spans="1:13" x14ac:dyDescent="0.3">
      <c r="C5" s="4"/>
      <c r="D5" s="4"/>
      <c r="E5" s="4"/>
    </row>
    <row r="6" spans="1:13" x14ac:dyDescent="0.3">
      <c r="C6" s="1" t="s">
        <v>0</v>
      </c>
      <c r="D6" s="7">
        <v>195929</v>
      </c>
      <c r="E6" s="7">
        <v>226954</v>
      </c>
      <c r="F6" s="7">
        <v>242290</v>
      </c>
      <c r="G6" s="7">
        <v>254453</v>
      </c>
      <c r="H6" s="7">
        <v>275235</v>
      </c>
      <c r="I6" s="5">
        <f>H6*(1+I20)</f>
        <v>293533.22595610714</v>
      </c>
      <c r="J6" s="5">
        <f>I6*(1+J20)</f>
        <v>313047.95807291602</v>
      </c>
      <c r="K6" s="5">
        <f>J6*(1+K20)</f>
        <v>333860.07234586886</v>
      </c>
      <c r="L6" s="5">
        <f>K6*(1+L20)</f>
        <v>356055.82158381818</v>
      </c>
      <c r="M6" s="5">
        <f>L6*(1+M20)</f>
        <v>379727.19287136546</v>
      </c>
    </row>
    <row r="7" spans="1:13" x14ac:dyDescent="0.3">
      <c r="C7" s="1" t="s">
        <v>9</v>
      </c>
      <c r="D7" s="7">
        <v>-170684</v>
      </c>
      <c r="E7" s="7">
        <v>-199382</v>
      </c>
      <c r="F7" s="7">
        <v>-212586</v>
      </c>
      <c r="G7" s="7">
        <v>-222358</v>
      </c>
      <c r="H7" s="7">
        <v>-239886</v>
      </c>
      <c r="I7" s="5">
        <f>-(1-I21)*I6</f>
        <v>-256171.52726926509</v>
      </c>
      <c r="J7" s="5">
        <f t="shared" ref="J7:M7" si="1">-(1-J21)*J6</f>
        <v>-273202.37178211438</v>
      </c>
      <c r="K7" s="5">
        <f t="shared" si="1"/>
        <v>-291365.46415994974</v>
      </c>
      <c r="L7" s="5">
        <f t="shared" si="1"/>
        <v>-310736.07872206863</v>
      </c>
      <c r="M7" s="5">
        <f t="shared" si="1"/>
        <v>-331394.49418947328</v>
      </c>
    </row>
    <row r="8" spans="1:13" x14ac:dyDescent="0.3">
      <c r="C8" s="1" t="s">
        <v>10</v>
      </c>
      <c r="D8" s="7">
        <v>-18537</v>
      </c>
      <c r="E8" s="7">
        <v>-19779</v>
      </c>
      <c r="F8" s="7">
        <v>-21590</v>
      </c>
      <c r="G8" s="7">
        <v>-22810</v>
      </c>
      <c r="H8" s="7">
        <v>-24966</v>
      </c>
      <c r="I8" s="5">
        <f>-I6*I22</f>
        <v>-26469.536897274171</v>
      </c>
      <c r="J8" s="5">
        <f t="shared" ref="J8:M8" si="2">-J6*J22</f>
        <v>-28229.289716137457</v>
      </c>
      <c r="K8" s="5">
        <f t="shared" si="2"/>
        <v>-30106.034758760288</v>
      </c>
      <c r="L8" s="5">
        <f t="shared" si="2"/>
        <v>-32107.549924557556</v>
      </c>
      <c r="M8" s="5">
        <f t="shared" si="2"/>
        <v>-34242.13020474193</v>
      </c>
    </row>
    <row r="9" spans="1:13" x14ac:dyDescent="0.3">
      <c r="C9" s="4" t="s">
        <v>11</v>
      </c>
      <c r="D9" s="6">
        <f t="shared" ref="D9:G9" si="3">SUM(D6:D8)</f>
        <v>6708</v>
      </c>
      <c r="E9" s="6">
        <f t="shared" si="3"/>
        <v>7793</v>
      </c>
      <c r="F9" s="6">
        <f t="shared" si="3"/>
        <v>8114</v>
      </c>
      <c r="G9" s="6">
        <f t="shared" si="3"/>
        <v>9285</v>
      </c>
      <c r="H9" s="6">
        <f>SUM(H6:H8)</f>
        <v>10383</v>
      </c>
      <c r="I9" s="6">
        <f t="shared" ref="I9:M9" si="4">SUM(I6:I8)</f>
        <v>10892.161789567879</v>
      </c>
      <c r="J9" s="6">
        <f t="shared" si="4"/>
        <v>11616.296574664186</v>
      </c>
      <c r="K9" s="6">
        <f t="shared" si="4"/>
        <v>12388.57342715883</v>
      </c>
      <c r="L9" s="6">
        <f t="shared" si="4"/>
        <v>13212.19293719199</v>
      </c>
      <c r="M9" s="6">
        <f t="shared" si="4"/>
        <v>14090.568477150257</v>
      </c>
    </row>
    <row r="11" spans="1:13" x14ac:dyDescent="0.3">
      <c r="C11" s="1" t="s">
        <v>12</v>
      </c>
      <c r="D11" s="7">
        <v>143</v>
      </c>
      <c r="E11" s="7">
        <v>205</v>
      </c>
      <c r="F11" s="7">
        <v>533</v>
      </c>
      <c r="G11" s="7">
        <v>624</v>
      </c>
      <c r="H11" s="7">
        <v>589</v>
      </c>
      <c r="I11" s="5">
        <f>I33*H37</f>
        <v>650.59946592038159</v>
      </c>
      <c r="J11" s="5">
        <f t="shared" ref="J11:M11" si="5">J33*I37</f>
        <v>886.23344827820222</v>
      </c>
      <c r="K11" s="5">
        <f t="shared" si="5"/>
        <v>1173.6941403784886</v>
      </c>
      <c r="L11" s="5">
        <f t="shared" si="5"/>
        <v>1501.0419293381046</v>
      </c>
      <c r="M11" s="5">
        <f t="shared" si="5"/>
        <v>1875.7767341437411</v>
      </c>
    </row>
    <row r="12" spans="1:13" x14ac:dyDescent="0.3">
      <c r="C12" s="1" t="s">
        <v>13</v>
      </c>
      <c r="D12" s="7">
        <v>-171</v>
      </c>
      <c r="E12" s="7">
        <v>-158</v>
      </c>
      <c r="F12" s="7">
        <v>-160</v>
      </c>
      <c r="G12" s="7">
        <v>-169</v>
      </c>
      <c r="H12" s="7">
        <v>-154</v>
      </c>
      <c r="I12" s="5">
        <f>I32*SUM(I58:I59)</f>
        <v>-162.88686044357007</v>
      </c>
      <c r="J12" s="5">
        <f t="shared" ref="J12:M12" si="6">J32*SUM(J58:J59)</f>
        <v>-162.88686044357007</v>
      </c>
      <c r="K12" s="5">
        <f t="shared" si="6"/>
        <v>-162.88686044357007</v>
      </c>
      <c r="L12" s="5">
        <f t="shared" si="6"/>
        <v>-162.88686044357007</v>
      </c>
      <c r="M12" s="5">
        <f t="shared" si="6"/>
        <v>-162.88686044357007</v>
      </c>
    </row>
    <row r="13" spans="1:13" x14ac:dyDescent="0.3">
      <c r="C13" s="4" t="s">
        <v>14</v>
      </c>
      <c r="D13" s="6">
        <f t="shared" ref="D13:E13" si="7">D9+D11+D12</f>
        <v>6680</v>
      </c>
      <c r="E13" s="6">
        <f t="shared" si="7"/>
        <v>7840</v>
      </c>
      <c r="F13" s="6">
        <f>F9+F11+F12</f>
        <v>8487</v>
      </c>
      <c r="G13" s="6">
        <f t="shared" ref="G13:H13" si="8">G9+G11+G12</f>
        <v>9740</v>
      </c>
      <c r="H13" s="6">
        <f t="shared" si="8"/>
        <v>10818</v>
      </c>
      <c r="I13" s="6">
        <f t="shared" ref="I13" si="9">I9+I11+I12</f>
        <v>11379.874395044691</v>
      </c>
      <c r="J13" s="6">
        <f t="shared" ref="J13" si="10">J9+J11+J12</f>
        <v>12339.643162498818</v>
      </c>
      <c r="K13" s="6">
        <f t="shared" ref="K13" si="11">K9+K11+K12</f>
        <v>13399.380707093747</v>
      </c>
      <c r="L13" s="6">
        <f t="shared" ref="L13" si="12">L9+L11+L12</f>
        <v>14550.348006086526</v>
      </c>
      <c r="M13" s="6">
        <f t="shared" ref="M13" si="13">M9+M11+M12</f>
        <v>15803.458350850427</v>
      </c>
    </row>
    <row r="14" spans="1:13" x14ac:dyDescent="0.3">
      <c r="F14" s="5"/>
      <c r="G14" s="5"/>
      <c r="H14" s="5"/>
    </row>
    <row r="15" spans="1:13" x14ac:dyDescent="0.3">
      <c r="C15" s="1" t="s">
        <v>15</v>
      </c>
      <c r="D15" s="7">
        <v>-1601</v>
      </c>
      <c r="E15" s="7">
        <v>-1925</v>
      </c>
      <c r="F15" s="7">
        <v>-2195</v>
      </c>
      <c r="G15" s="7">
        <v>-2373</v>
      </c>
      <c r="H15" s="7">
        <v>-2719</v>
      </c>
      <c r="I15" s="5">
        <f>-I23*I13</f>
        <v>-2858.6460802639558</v>
      </c>
      <c r="J15" s="5">
        <f t="shared" ref="J15:M15" si="14">-J23*J13</f>
        <v>-3099.7418190919007</v>
      </c>
      <c r="K15" s="5">
        <f t="shared" si="14"/>
        <v>-3365.9499047702438</v>
      </c>
      <c r="L15" s="5">
        <f t="shared" si="14"/>
        <v>-3655.0750781737747</v>
      </c>
      <c r="M15" s="5">
        <f t="shared" si="14"/>
        <v>-3969.8587788407517</v>
      </c>
    </row>
    <row r="16" spans="1:13" x14ac:dyDescent="0.3">
      <c r="C16" s="4" t="s">
        <v>1</v>
      </c>
      <c r="D16" s="6">
        <f>D13+D15</f>
        <v>5079</v>
      </c>
      <c r="E16" s="6">
        <f>E13+E15</f>
        <v>5915</v>
      </c>
      <c r="F16" s="6">
        <f>F13+F15</f>
        <v>6292</v>
      </c>
      <c r="G16" s="6">
        <f t="shared" ref="G16" si="15">G13+G15</f>
        <v>7367</v>
      </c>
      <c r="H16" s="6">
        <f>H13+H15</f>
        <v>8099</v>
      </c>
      <c r="I16" s="6">
        <f>I13+I15</f>
        <v>8521.2283147807357</v>
      </c>
      <c r="J16" s="6">
        <f>J13+J15</f>
        <v>9239.9013434069166</v>
      </c>
      <c r="K16" s="6">
        <f>K13+K15</f>
        <v>10033.430802323503</v>
      </c>
      <c r="L16" s="6">
        <f>L13+L15</f>
        <v>10895.272927912751</v>
      </c>
      <c r="M16" s="6">
        <f t="shared" ref="M16" si="16">M13+M15</f>
        <v>11833.599572009676</v>
      </c>
    </row>
    <row r="19" spans="3:13" x14ac:dyDescent="0.3">
      <c r="C19" s="8" t="s">
        <v>16</v>
      </c>
      <c r="D19" s="8"/>
      <c r="E19" s="8"/>
    </row>
    <row r="20" spans="3:13" x14ac:dyDescent="0.3">
      <c r="C20" s="1" t="s">
        <v>20</v>
      </c>
      <c r="E20" s="9">
        <f>E6/D6-1</f>
        <v>0.15834817714580285</v>
      </c>
      <c r="F20" s="9">
        <f>F6/E6-1</f>
        <v>6.7573164606043568E-2</v>
      </c>
      <c r="G20" s="9">
        <f>G6/F6-1</f>
        <v>5.0200173345990251E-2</v>
      </c>
      <c r="H20" s="9">
        <f>H6/G6-1</f>
        <v>8.1673236314761422E-2</v>
      </c>
      <c r="I20" s="10">
        <f>AVERAGE(F20:H20)</f>
        <v>6.648219142226508E-2</v>
      </c>
      <c r="J20" s="10">
        <f>I20</f>
        <v>6.648219142226508E-2</v>
      </c>
      <c r="K20" s="10">
        <f t="shared" ref="K20:M23" si="17">J20</f>
        <v>6.648219142226508E-2</v>
      </c>
      <c r="L20" s="10">
        <f t="shared" si="17"/>
        <v>6.648219142226508E-2</v>
      </c>
      <c r="M20" s="10">
        <f t="shared" si="17"/>
        <v>6.648219142226508E-2</v>
      </c>
    </row>
    <row r="21" spans="3:13" x14ac:dyDescent="0.3">
      <c r="C21" s="1" t="s">
        <v>17</v>
      </c>
      <c r="D21" s="9">
        <f t="shared" ref="D21:G21" si="18">1+D7/D6</f>
        <v>0.12884769482822855</v>
      </c>
      <c r="E21" s="9">
        <f t="shared" si="18"/>
        <v>0.1214871736122739</v>
      </c>
      <c r="F21" s="9">
        <f t="shared" si="18"/>
        <v>0.12259688802674484</v>
      </c>
      <c r="G21" s="9">
        <f t="shared" si="18"/>
        <v>0.12613331342133915</v>
      </c>
      <c r="H21" s="9">
        <f>1+H7/H6</f>
        <v>0.12843206714262356</v>
      </c>
      <c r="I21" s="10">
        <f>AVERAGE(G21:H21)</f>
        <v>0.12728269028198136</v>
      </c>
      <c r="J21" s="10">
        <f>I21</f>
        <v>0.12728269028198136</v>
      </c>
      <c r="K21" s="10">
        <f t="shared" si="17"/>
        <v>0.12728269028198136</v>
      </c>
      <c r="L21" s="10">
        <f t="shared" si="17"/>
        <v>0.12728269028198136</v>
      </c>
      <c r="M21" s="10">
        <f t="shared" si="17"/>
        <v>0.12728269028198136</v>
      </c>
    </row>
    <row r="22" spans="3:13" x14ac:dyDescent="0.3">
      <c r="C22" s="1" t="s">
        <v>18</v>
      </c>
      <c r="D22" s="9">
        <f>-D8/D6</f>
        <v>9.4610802892884663E-2</v>
      </c>
      <c r="E22" s="9">
        <f>-E8/E6</f>
        <v>8.7149818906033821E-2</v>
      </c>
      <c r="F22" s="9">
        <f>-F8/F6</f>
        <v>8.910809360683479E-2</v>
      </c>
      <c r="G22" s="9">
        <f>-G8/G6</f>
        <v>8.964327400345054E-2</v>
      </c>
      <c r="H22" s="9">
        <f>-H8/H6</f>
        <v>9.0707940487220015E-2</v>
      </c>
      <c r="I22" s="10">
        <f>AVERAGE(G22:H22)</f>
        <v>9.0175607245335271E-2</v>
      </c>
      <c r="J22" s="10">
        <f>I22</f>
        <v>9.0175607245335271E-2</v>
      </c>
      <c r="K22" s="10">
        <f t="shared" si="17"/>
        <v>9.0175607245335271E-2</v>
      </c>
      <c r="L22" s="10">
        <f t="shared" si="17"/>
        <v>9.0175607245335271E-2</v>
      </c>
      <c r="M22" s="10">
        <f t="shared" si="17"/>
        <v>9.0175607245335271E-2</v>
      </c>
    </row>
    <row r="23" spans="3:13" x14ac:dyDescent="0.3">
      <c r="C23" s="1" t="s">
        <v>19</v>
      </c>
      <c r="D23" s="9">
        <f>-D15/D13</f>
        <v>0.23967065868263474</v>
      </c>
      <c r="E23" s="9">
        <f t="shared" ref="E23:H23" si="19">-E15/E13</f>
        <v>0.24553571428571427</v>
      </c>
      <c r="F23" s="9">
        <f>-F15/F13</f>
        <v>0.25863084717803697</v>
      </c>
      <c r="G23" s="9">
        <f t="shared" si="19"/>
        <v>0.24363449691991787</v>
      </c>
      <c r="H23" s="9">
        <f t="shared" si="19"/>
        <v>0.25134035866149013</v>
      </c>
      <c r="I23" s="10">
        <f>AVERAGE(F23:H23)</f>
        <v>0.25120190091981498</v>
      </c>
      <c r="J23" s="10">
        <f>I23</f>
        <v>0.25120190091981498</v>
      </c>
      <c r="K23" s="10">
        <f t="shared" si="17"/>
        <v>0.25120190091981498</v>
      </c>
      <c r="L23" s="10">
        <f t="shared" si="17"/>
        <v>0.25120190091981498</v>
      </c>
      <c r="M23" s="10">
        <f t="shared" si="17"/>
        <v>0.25120190091981498</v>
      </c>
    </row>
    <row r="24" spans="3:13" x14ac:dyDescent="0.3">
      <c r="C24" s="11" t="s">
        <v>30</v>
      </c>
      <c r="D24" s="11"/>
      <c r="E24" s="9">
        <f t="shared" ref="E24" si="20">E7/D7-1</f>
        <v>0.16813526751189323</v>
      </c>
      <c r="F24" s="9">
        <f>F7/E7-1</f>
        <v>6.6224634119429027E-2</v>
      </c>
      <c r="G24" s="9">
        <f t="shared" ref="G24" si="21">G7/F7-1</f>
        <v>4.596727912468368E-2</v>
      </c>
      <c r="H24" s="9">
        <f>H7/G7-1</f>
        <v>7.8827836192086664E-2</v>
      </c>
      <c r="I24" s="9">
        <f t="shared" ref="I24:M24" si="22">I7/H7-1</f>
        <v>6.788861071202601E-2</v>
      </c>
      <c r="J24" s="9">
        <f t="shared" si="22"/>
        <v>6.648219142226508E-2</v>
      </c>
      <c r="K24" s="9">
        <f t="shared" si="22"/>
        <v>6.648219142226508E-2</v>
      </c>
      <c r="L24" s="9">
        <f t="shared" si="22"/>
        <v>6.648219142226508E-2</v>
      </c>
      <c r="M24" s="9">
        <f t="shared" si="22"/>
        <v>6.6482191422265302E-2</v>
      </c>
    </row>
    <row r="25" spans="3:13" x14ac:dyDescent="0.3">
      <c r="C25" s="11"/>
      <c r="D25" s="11"/>
      <c r="E25" s="11"/>
      <c r="F25" s="9"/>
      <c r="G25" s="9"/>
      <c r="H25" s="9"/>
      <c r="I25" s="9"/>
      <c r="J25" s="9"/>
      <c r="K25" s="9"/>
      <c r="L25" s="9"/>
      <c r="M25" s="9"/>
    </row>
    <row r="26" spans="3:13" x14ac:dyDescent="0.3">
      <c r="C26" s="11" t="s">
        <v>31</v>
      </c>
      <c r="D26" s="7">
        <v>-1781</v>
      </c>
      <c r="E26" s="7">
        <v>-1900</v>
      </c>
      <c r="F26" s="7">
        <v>-2077</v>
      </c>
      <c r="G26" s="7">
        <v>-2237</v>
      </c>
      <c r="H26" s="7">
        <v>-2426</v>
      </c>
      <c r="I26" s="5">
        <f>H26*(1+I20)</f>
        <v>-2587.2857963904153</v>
      </c>
      <c r="J26" s="5">
        <f t="shared" ref="J26:M26" si="23">I26*(1+J20)</f>
        <v>-2759.2942259701504</v>
      </c>
      <c r="K26" s="5">
        <f t="shared" si="23"/>
        <v>-2942.7381528914489</v>
      </c>
      <c r="L26" s="5">
        <f t="shared" si="23"/>
        <v>-3138.3778340775812</v>
      </c>
      <c r="M26" s="5">
        <f t="shared" si="23"/>
        <v>-3347.0240699981205</v>
      </c>
    </row>
    <row r="27" spans="3:13" x14ac:dyDescent="0.3">
      <c r="C27" s="11" t="s">
        <v>32</v>
      </c>
      <c r="D27" s="7">
        <v>-3588</v>
      </c>
      <c r="E27" s="7">
        <v>-3891</v>
      </c>
      <c r="F27" s="7">
        <v>-4323</v>
      </c>
      <c r="G27" s="7">
        <v>-4710</v>
      </c>
      <c r="H27" s="7">
        <v>-5498</v>
      </c>
      <c r="I27" s="5">
        <f>H27*(1+I20)</f>
        <v>-5863.5190884396134</v>
      </c>
      <c r="J27" s="5">
        <f t="shared" ref="J27:M27" si="24">I27*(1+J20)</f>
        <v>-6253.3386868853613</v>
      </c>
      <c r="K27" s="5">
        <f t="shared" si="24"/>
        <v>-6669.0743464951292</v>
      </c>
      <c r="L27" s="5">
        <f t="shared" si="24"/>
        <v>-7112.4490238081362</v>
      </c>
      <c r="M27" s="5">
        <f t="shared" si="24"/>
        <v>-7585.300221290051</v>
      </c>
    </row>
    <row r="28" spans="3:13" x14ac:dyDescent="0.3">
      <c r="C28" s="11"/>
      <c r="D28" s="11"/>
      <c r="E28" s="11"/>
      <c r="F28" s="7"/>
      <c r="G28" s="7"/>
      <c r="H28" s="7"/>
      <c r="I28" s="5"/>
      <c r="J28" s="5"/>
      <c r="K28" s="5"/>
      <c r="L28" s="5"/>
      <c r="M28" s="5"/>
    </row>
    <row r="29" spans="3:13" x14ac:dyDescent="0.3">
      <c r="C29" s="11" t="s">
        <v>33</v>
      </c>
      <c r="D29" s="7">
        <v>0</v>
      </c>
      <c r="E29" s="7">
        <v>0</v>
      </c>
      <c r="F29" s="7">
        <v>0</v>
      </c>
      <c r="G29" s="7">
        <v>0</v>
      </c>
      <c r="H29" s="7">
        <v>0</v>
      </c>
      <c r="I29" s="5">
        <f>H29</f>
        <v>0</v>
      </c>
      <c r="J29" s="5">
        <f t="shared" ref="J29:M30" si="25">I29</f>
        <v>0</v>
      </c>
      <c r="K29" s="5">
        <f t="shared" si="25"/>
        <v>0</v>
      </c>
      <c r="L29" s="5">
        <f t="shared" si="25"/>
        <v>0</v>
      </c>
      <c r="M29" s="5">
        <f t="shared" si="25"/>
        <v>0</v>
      </c>
    </row>
    <row r="30" spans="3:13" x14ac:dyDescent="0.3">
      <c r="C30" s="11" t="s">
        <v>34</v>
      </c>
      <c r="D30" s="7">
        <v>0</v>
      </c>
      <c r="E30" s="7">
        <v>0</v>
      </c>
      <c r="F30" s="7">
        <v>0</v>
      </c>
      <c r="G30" s="7">
        <v>0</v>
      </c>
      <c r="H30" s="7">
        <v>0</v>
      </c>
      <c r="I30" s="5">
        <f>H30</f>
        <v>0</v>
      </c>
      <c r="J30" s="5">
        <f t="shared" si="25"/>
        <v>0</v>
      </c>
      <c r="K30" s="5">
        <f t="shared" si="25"/>
        <v>0</v>
      </c>
      <c r="L30" s="5">
        <f t="shared" si="25"/>
        <v>0</v>
      </c>
      <c r="M30" s="5">
        <f t="shared" si="25"/>
        <v>0</v>
      </c>
    </row>
    <row r="31" spans="3:13" x14ac:dyDescent="0.3">
      <c r="C31" s="11"/>
      <c r="D31" s="11"/>
      <c r="E31" s="11"/>
      <c r="F31" s="7"/>
      <c r="G31" s="9"/>
      <c r="H31" s="9"/>
      <c r="I31" s="9"/>
      <c r="J31" s="9"/>
      <c r="K31" s="9"/>
      <c r="L31" s="9"/>
      <c r="M31" s="9"/>
    </row>
    <row r="32" spans="3:13" x14ac:dyDescent="0.3">
      <c r="C32" s="11" t="s">
        <v>65</v>
      </c>
      <c r="D32" s="11"/>
      <c r="E32" s="9">
        <f>E12/((SUM(D58:D59)+SUM(E58:E59))/2)</f>
        <v>-2.398299939283546E-2</v>
      </c>
      <c r="F32" s="9">
        <f t="shared" ref="F32" si="26">F12/((SUM(E58:E59)+SUM(F58:F59))/2)</f>
        <v>-2.697917544895034E-2</v>
      </c>
      <c r="G32" s="9">
        <f>G12/((SUM(F58:F59)+SUM(G58:G59))/2)</f>
        <v>-3.0256915226926865E-2</v>
      </c>
      <c r="H32" s="9">
        <f t="shared" ref="H32" si="27">H12/((SUM(G58:G59)+SUM(H58:H59))/2)</f>
        <v>-2.676631615538368E-2</v>
      </c>
      <c r="I32" s="9">
        <f>AVERAGE(G32:H32)</f>
        <v>-2.8511615691155272E-2</v>
      </c>
      <c r="J32" s="9">
        <f>I32</f>
        <v>-2.8511615691155272E-2</v>
      </c>
      <c r="K32" s="9">
        <f t="shared" ref="K32:M32" si="28">J32</f>
        <v>-2.8511615691155272E-2</v>
      </c>
      <c r="L32" s="9">
        <f t="shared" si="28"/>
        <v>-2.8511615691155272E-2</v>
      </c>
      <c r="M32" s="9">
        <f t="shared" si="28"/>
        <v>-2.8511615691155272E-2</v>
      </c>
    </row>
    <row r="33" spans="2:13" x14ac:dyDescent="0.3">
      <c r="C33" s="11" t="s">
        <v>64</v>
      </c>
      <c r="D33" s="11"/>
      <c r="E33" s="9">
        <f>E11/((SUM(D37:D38)+SUM(E37:E38))/2)</f>
        <v>1.7654150878401654E-2</v>
      </c>
      <c r="F33" s="9">
        <f>F11/((SUM(E37:E38)+SUM(F37:F38))/2)</f>
        <v>4.0558535935775977E-2</v>
      </c>
      <c r="G33" s="9">
        <f>G11/((SUM(F37:F38)+SUM(G37:G38))/2)</f>
        <v>4.731215406778376E-2</v>
      </c>
      <c r="H33" s="9">
        <f>H11/((SUM(G37:G38)+SUM(H37:H38))/2)</f>
        <v>4.4573936733767215E-2</v>
      </c>
      <c r="I33" s="9">
        <f>AVERAGE(G33:H33)</f>
        <v>4.5943045400775484E-2</v>
      </c>
      <c r="J33" s="9">
        <f>I33</f>
        <v>4.5943045400775484E-2</v>
      </c>
      <c r="K33" s="9">
        <f t="shared" ref="K33:M33" si="29">J33</f>
        <v>4.5943045400775484E-2</v>
      </c>
      <c r="L33" s="9">
        <f t="shared" si="29"/>
        <v>4.5943045400775484E-2</v>
      </c>
      <c r="M33" s="9">
        <f t="shared" si="29"/>
        <v>4.5943045400775484E-2</v>
      </c>
    </row>
    <row r="35" spans="2:13" x14ac:dyDescent="0.3">
      <c r="B35" s="1" t="s">
        <v>52</v>
      </c>
      <c r="C35" s="4" t="s">
        <v>3</v>
      </c>
      <c r="D35" s="4"/>
      <c r="E35" s="4"/>
    </row>
    <row r="37" spans="2:13" x14ac:dyDescent="0.3">
      <c r="C37" s="1" t="s">
        <v>21</v>
      </c>
      <c r="D37" s="7">
        <v>11258</v>
      </c>
      <c r="E37" s="7">
        <v>10203</v>
      </c>
      <c r="F37" s="7">
        <v>13700</v>
      </c>
      <c r="G37" s="7">
        <v>9906</v>
      </c>
      <c r="H37" s="7">
        <v>14161</v>
      </c>
      <c r="I37" s="5">
        <f>I70-SUM(I38:I41)-I47</f>
        <v>19289.828102323474</v>
      </c>
      <c r="J37" s="5">
        <f t="shared" ref="J37:M37" si="30">J70-SUM(J38:J41)-J47</f>
        <v>25546.7205131917</v>
      </c>
      <c r="K37" s="5">
        <f t="shared" si="30"/>
        <v>32671.798663846697</v>
      </c>
      <c r="L37" s="5">
        <f t="shared" si="30"/>
        <v>40828.306390679085</v>
      </c>
      <c r="M37" s="5">
        <f t="shared" si="30"/>
        <v>50251.40126007385</v>
      </c>
    </row>
    <row r="38" spans="2:13" x14ac:dyDescent="0.3">
      <c r="C38" s="1" t="s">
        <v>27</v>
      </c>
      <c r="D38" s="7">
        <v>917</v>
      </c>
      <c r="E38" s="7">
        <v>846</v>
      </c>
      <c r="F38" s="7">
        <v>1534</v>
      </c>
      <c r="G38" s="7">
        <v>1238</v>
      </c>
      <c r="H38" s="7">
        <v>1123</v>
      </c>
      <c r="I38" s="5">
        <f>AVERAGE(F38:H38)</f>
        <v>1298.3333333333333</v>
      </c>
      <c r="J38" s="5">
        <f t="shared" ref="J38:M38" si="31">AVERAGE(G38:I38)</f>
        <v>1219.7777777777776</v>
      </c>
      <c r="K38" s="5">
        <f t="shared" si="31"/>
        <v>1213.7037037037035</v>
      </c>
      <c r="L38" s="5">
        <f t="shared" si="31"/>
        <v>1243.9382716049381</v>
      </c>
      <c r="M38" s="5">
        <f t="shared" si="31"/>
        <v>1225.8065843621396</v>
      </c>
    </row>
    <row r="39" spans="2:13" x14ac:dyDescent="0.3">
      <c r="C39" s="1" t="s">
        <v>22</v>
      </c>
      <c r="D39" s="7">
        <v>1803</v>
      </c>
      <c r="E39" s="7">
        <v>2241</v>
      </c>
      <c r="F39" s="7">
        <v>2285</v>
      </c>
      <c r="G39" s="7">
        <v>2721</v>
      </c>
      <c r="H39" s="7">
        <v>3203</v>
      </c>
      <c r="I39" s="5">
        <f>H39*(1+I20)</f>
        <v>3415.9424591255151</v>
      </c>
      <c r="J39" s="5">
        <f>I39*(1+J20)</f>
        <v>3643.0417995805406</v>
      </c>
      <c r="K39" s="5">
        <f>J39*(1+K20)</f>
        <v>3885.2392018595669</v>
      </c>
      <c r="L39" s="5">
        <f>K39*(1+L20)</f>
        <v>4143.5384181988829</v>
      </c>
      <c r="M39" s="5">
        <f>L39*(1+M20)</f>
        <v>4419.0099324830908</v>
      </c>
    </row>
    <row r="40" spans="2:13" x14ac:dyDescent="0.3">
      <c r="C40" s="1" t="s">
        <v>23</v>
      </c>
      <c r="D40" s="7">
        <v>14215</v>
      </c>
      <c r="E40" s="7">
        <v>17907</v>
      </c>
      <c r="F40" s="7">
        <v>16651</v>
      </c>
      <c r="G40" s="7">
        <v>18647</v>
      </c>
      <c r="H40" s="7">
        <v>18116</v>
      </c>
      <c r="I40" s="5">
        <f>H40*(1+I24)</f>
        <v>19345.870071659065</v>
      </c>
      <c r="J40" s="5">
        <f>I40*(1+J24)</f>
        <v>20632.025908993372</v>
      </c>
      <c r="K40" s="5">
        <f>J40*(1+K24)</f>
        <v>22003.688204904203</v>
      </c>
      <c r="L40" s="5">
        <f>K40*(1+L24)</f>
        <v>23466.541616138482</v>
      </c>
      <c r="M40" s="5">
        <f>L40*(1+M24)</f>
        <v>25026.648727881155</v>
      </c>
    </row>
    <row r="41" spans="2:13" x14ac:dyDescent="0.3">
      <c r="C41" s="1" t="s">
        <v>24</v>
      </c>
      <c r="D41" s="7">
        <v>1312</v>
      </c>
      <c r="E41" s="7">
        <v>1499</v>
      </c>
      <c r="F41" s="7">
        <v>1709</v>
      </c>
      <c r="G41" s="7">
        <v>1734</v>
      </c>
      <c r="H41" s="7">
        <v>1777</v>
      </c>
      <c r="I41" s="5">
        <f>H41*(1+I22)</f>
        <v>1937.2420540749608</v>
      </c>
      <c r="J41" s="5">
        <f>I41*(1+J22)</f>
        <v>2111.9340326823708</v>
      </c>
      <c r="K41" s="5">
        <f>J41*(1+K22)</f>
        <v>2302.3789665415934</v>
      </c>
      <c r="L41" s="5">
        <f>K41*(1+L22)</f>
        <v>2509.997387958369</v>
      </c>
      <c r="M41" s="5">
        <f>L41*(1+M22)</f>
        <v>2736.33792660172</v>
      </c>
    </row>
    <row r="42" spans="2:13" x14ac:dyDescent="0.3">
      <c r="C42" s="4" t="s">
        <v>25</v>
      </c>
      <c r="D42" s="6">
        <f t="shared" ref="D42:E42" si="32">SUM(D37:D41)</f>
        <v>29505</v>
      </c>
      <c r="E42" s="6">
        <f t="shared" si="32"/>
        <v>32696</v>
      </c>
      <c r="F42" s="6">
        <f>SUM(F37:F41)</f>
        <v>35879</v>
      </c>
      <c r="G42" s="6">
        <f>SUM(G37:G41)</f>
        <v>34246</v>
      </c>
      <c r="H42" s="6">
        <f>SUM(H37:H41)</f>
        <v>38380</v>
      </c>
      <c r="I42" s="6">
        <f t="shared" ref="I42:M42" si="33">SUM(I37:I41)</f>
        <v>45287.216020516345</v>
      </c>
      <c r="J42" s="6">
        <f t="shared" si="33"/>
        <v>53153.500032225762</v>
      </c>
      <c r="K42" s="6">
        <f t="shared" si="33"/>
        <v>62076.808740855762</v>
      </c>
      <c r="L42" s="6">
        <f t="shared" si="33"/>
        <v>72192.322084579762</v>
      </c>
      <c r="M42" s="6">
        <f t="shared" si="33"/>
        <v>83659.204431401944</v>
      </c>
    </row>
    <row r="43" spans="2:13" x14ac:dyDescent="0.3">
      <c r="D43" s="7"/>
      <c r="E43" s="7"/>
    </row>
    <row r="44" spans="2:13" x14ac:dyDescent="0.3">
      <c r="C44" s="1" t="s">
        <v>29</v>
      </c>
      <c r="D44" s="7">
        <v>23492</v>
      </c>
      <c r="E44" s="7">
        <v>24646</v>
      </c>
      <c r="F44" s="7">
        <v>26684</v>
      </c>
      <c r="G44" s="7">
        <v>29032</v>
      </c>
      <c r="H44" s="7">
        <v>31909</v>
      </c>
      <c r="I44" s="5">
        <f>H44-I27+I26</f>
        <v>35185.233292049197</v>
      </c>
      <c r="J44" s="5">
        <f>I44-J27+J26</f>
        <v>38679.277752964408</v>
      </c>
      <c r="K44" s="5">
        <f>J44-K27+K26</f>
        <v>42405.61394656809</v>
      </c>
      <c r="L44" s="5">
        <f>K44-L27+L26</f>
        <v>46379.685136298642</v>
      </c>
      <c r="M44" s="5">
        <f>L44-M27+M26</f>
        <v>50617.961287590573</v>
      </c>
    </row>
    <row r="45" spans="2:13" x14ac:dyDescent="0.3">
      <c r="C45" s="1" t="s">
        <v>46</v>
      </c>
      <c r="D45" s="7">
        <v>2890</v>
      </c>
      <c r="E45" s="7">
        <v>2774</v>
      </c>
      <c r="F45" s="7">
        <v>2713</v>
      </c>
      <c r="G45" s="7">
        <v>2617</v>
      </c>
      <c r="H45" s="7">
        <v>2725</v>
      </c>
      <c r="I45" s="5">
        <f>H45</f>
        <v>2725</v>
      </c>
      <c r="J45" s="5">
        <f t="shared" ref="J45:M45" si="34">I45</f>
        <v>2725</v>
      </c>
      <c r="K45" s="5">
        <f t="shared" si="34"/>
        <v>2725</v>
      </c>
      <c r="L45" s="5">
        <f t="shared" si="34"/>
        <v>2725</v>
      </c>
      <c r="M45" s="5">
        <f t="shared" si="34"/>
        <v>2725</v>
      </c>
    </row>
    <row r="46" spans="2:13" x14ac:dyDescent="0.3">
      <c r="C46" s="1" t="s">
        <v>28</v>
      </c>
      <c r="D46" s="7">
        <v>3381</v>
      </c>
      <c r="E46" s="7">
        <v>4050</v>
      </c>
      <c r="F46" s="7">
        <v>3718</v>
      </c>
      <c r="G46" s="7">
        <v>3936</v>
      </c>
      <c r="H46" s="7">
        <v>4085</v>
      </c>
      <c r="I46" s="5">
        <f>H46-I30+I29</f>
        <v>4085</v>
      </c>
      <c r="J46" s="5">
        <f>I46-J30+J29</f>
        <v>4085</v>
      </c>
      <c r="K46" s="5">
        <f>J46-K30+K29</f>
        <v>4085</v>
      </c>
      <c r="L46" s="5">
        <f>K46-L30+L29</f>
        <v>4085</v>
      </c>
      <c r="M46" s="5">
        <f>L46-M30+M29</f>
        <v>4085</v>
      </c>
    </row>
    <row r="47" spans="2:13" x14ac:dyDescent="0.3">
      <c r="C47" s="4" t="s">
        <v>26</v>
      </c>
      <c r="D47" s="6">
        <f t="shared" ref="D47:E47" si="35">SUM(D44:D46)</f>
        <v>29763</v>
      </c>
      <c r="E47" s="6">
        <f t="shared" si="35"/>
        <v>31470</v>
      </c>
      <c r="F47" s="6">
        <f>SUM(F44:F46)</f>
        <v>33115</v>
      </c>
      <c r="G47" s="6">
        <f>SUM(G44:G46)</f>
        <v>35585</v>
      </c>
      <c r="H47" s="6">
        <f>SUM(H44:H46)</f>
        <v>38719</v>
      </c>
      <c r="I47" s="6">
        <f>SUM(I44:I46)</f>
        <v>41995.233292049197</v>
      </c>
      <c r="J47" s="6">
        <f t="shared" ref="J47:M47" si="36">SUM(J44:J46)</f>
        <v>45489.277752964408</v>
      </c>
      <c r="K47" s="6">
        <f t="shared" si="36"/>
        <v>49215.61394656809</v>
      </c>
      <c r="L47" s="6">
        <f t="shared" si="36"/>
        <v>53189.685136298642</v>
      </c>
      <c r="M47" s="6">
        <f t="shared" si="36"/>
        <v>57427.961287590573</v>
      </c>
    </row>
    <row r="48" spans="2:13" x14ac:dyDescent="0.3">
      <c r="F48" s="6"/>
      <c r="G48" s="6"/>
      <c r="H48" s="6"/>
    </row>
    <row r="49" spans="3:13" x14ac:dyDescent="0.3">
      <c r="C49" s="4" t="s">
        <v>5</v>
      </c>
      <c r="D49" s="6">
        <f t="shared" ref="D49:E49" si="37">D42+D47</f>
        <v>59268</v>
      </c>
      <c r="E49" s="6">
        <f t="shared" si="37"/>
        <v>64166</v>
      </c>
      <c r="F49" s="6">
        <f>F42+F47</f>
        <v>68994</v>
      </c>
      <c r="G49" s="6">
        <f>G42+G47</f>
        <v>69831</v>
      </c>
      <c r="H49" s="6">
        <f>H42+H47</f>
        <v>77099</v>
      </c>
      <c r="I49" s="6">
        <f>I42+I47</f>
        <v>87282.449312565543</v>
      </c>
      <c r="J49" s="6">
        <f t="shared" ref="J49:M49" si="38">J42+J47</f>
        <v>98642.777785190177</v>
      </c>
      <c r="K49" s="6">
        <f t="shared" si="38"/>
        <v>111292.42268742385</v>
      </c>
      <c r="L49" s="6">
        <f t="shared" si="38"/>
        <v>125382.00722087841</v>
      </c>
      <c r="M49" s="6">
        <f t="shared" si="38"/>
        <v>141087.16571899253</v>
      </c>
    </row>
    <row r="51" spans="3:13" x14ac:dyDescent="0.3">
      <c r="C51" s="1" t="s">
        <v>35</v>
      </c>
      <c r="D51" s="7">
        <v>16278</v>
      </c>
      <c r="E51" s="7">
        <v>17848</v>
      </c>
      <c r="F51" s="7">
        <v>17483</v>
      </c>
      <c r="G51" s="7">
        <v>19421</v>
      </c>
      <c r="H51" s="7">
        <v>19783</v>
      </c>
      <c r="I51" s="5">
        <f t="shared" ref="I51:M54" si="39">H51*(1+I20)</f>
        <v>21098.217192906672</v>
      </c>
      <c r="J51" s="5">
        <f t="shared" si="39"/>
        <v>22500.872906994016</v>
      </c>
      <c r="K51" s="5">
        <f t="shared" si="39"/>
        <v>23996.780246764851</v>
      </c>
      <c r="L51" s="5">
        <f t="shared" si="39"/>
        <v>25592.138784648301</v>
      </c>
      <c r="M51" s="5">
        <f t="shared" si="39"/>
        <v>27293.560254234464</v>
      </c>
    </row>
    <row r="52" spans="3:13" x14ac:dyDescent="0.3">
      <c r="C52" s="1" t="s">
        <v>47</v>
      </c>
      <c r="D52" s="7">
        <v>4090</v>
      </c>
      <c r="E52" s="7">
        <v>4381</v>
      </c>
      <c r="F52" s="7">
        <v>4278</v>
      </c>
      <c r="G52" s="7">
        <v>4794</v>
      </c>
      <c r="H52" s="7">
        <v>5205</v>
      </c>
      <c r="I52" s="5">
        <f t="shared" si="39"/>
        <v>5867.5064029177138</v>
      </c>
      <c r="J52" s="5">
        <f t="shared" si="39"/>
        <v>6614.338403127832</v>
      </c>
      <c r="K52" s="5">
        <f t="shared" si="39"/>
        <v>7456.2291895133676</v>
      </c>
      <c r="L52" s="5">
        <f t="shared" si="39"/>
        <v>8405.2781001136682</v>
      </c>
      <c r="M52" s="5">
        <f t="shared" si="39"/>
        <v>9475.1245092643585</v>
      </c>
    </row>
    <row r="53" spans="3:13" x14ac:dyDescent="0.3">
      <c r="C53" s="1" t="s">
        <v>48</v>
      </c>
      <c r="D53" s="7">
        <v>1671</v>
      </c>
      <c r="E53" s="7">
        <v>1911</v>
      </c>
      <c r="F53" s="7">
        <v>2150</v>
      </c>
      <c r="G53" s="7">
        <v>2435</v>
      </c>
      <c r="H53" s="7">
        <v>2677</v>
      </c>
      <c r="I53" s="5">
        <f t="shared" si="39"/>
        <v>2918.4001005957625</v>
      </c>
      <c r="J53" s="5">
        <f t="shared" si="39"/>
        <v>3181.5686018518327</v>
      </c>
      <c r="K53" s="5">
        <f t="shared" si="39"/>
        <v>3468.4684825165141</v>
      </c>
      <c r="L53" s="5">
        <f t="shared" si="39"/>
        <v>3781.2397341387473</v>
      </c>
      <c r="M53" s="5">
        <f t="shared" si="39"/>
        <v>4122.2153233048984</v>
      </c>
    </row>
    <row r="54" spans="3:13" x14ac:dyDescent="0.3">
      <c r="C54" s="1" t="s">
        <v>76</v>
      </c>
      <c r="D54" s="7">
        <v>2042</v>
      </c>
      <c r="E54" s="7">
        <v>2174</v>
      </c>
      <c r="F54" s="7">
        <v>2337</v>
      </c>
      <c r="G54" s="7">
        <v>2501</v>
      </c>
      <c r="H54" s="7">
        <v>2854</v>
      </c>
      <c r="I54" s="5">
        <f t="shared" si="39"/>
        <v>3570.9302252251518</v>
      </c>
      <c r="J54" s="5">
        <f t="shared" si="39"/>
        <v>4467.9546858537333</v>
      </c>
      <c r="K54" s="5">
        <f t="shared" si="39"/>
        <v>5590.3133961637859</v>
      </c>
      <c r="L54" s="5">
        <f t="shared" si="39"/>
        <v>6994.6107480176361</v>
      </c>
      <c r="M54" s="5">
        <f t="shared" si="39"/>
        <v>8751.6702641138345</v>
      </c>
    </row>
    <row r="55" spans="3:13" x14ac:dyDescent="0.3">
      <c r="C55" s="1" t="s">
        <v>36</v>
      </c>
      <c r="D55" s="7">
        <v>5360</v>
      </c>
      <c r="E55" s="7">
        <v>5684</v>
      </c>
      <c r="F55" s="7">
        <v>7335</v>
      </c>
      <c r="G55" s="7">
        <v>6313</v>
      </c>
      <c r="H55" s="7">
        <v>6589</v>
      </c>
      <c r="I55" s="5">
        <f>H55*(1+I22)</f>
        <v>7183.1670761395135</v>
      </c>
      <c r="J55" s="5">
        <f>I55*(1+J22)</f>
        <v>7830.9135291750936</v>
      </c>
      <c r="K55" s="5">
        <f>J55*(1+K22)</f>
        <v>8537.0709119541698</v>
      </c>
      <c r="L55" s="5">
        <f>K55*(1+L22)</f>
        <v>9306.9064655361253</v>
      </c>
      <c r="M55" s="5">
        <f>L55*(1+M22)</f>
        <v>10146.162407641383</v>
      </c>
    </row>
    <row r="56" spans="3:13" x14ac:dyDescent="0.3">
      <c r="C56" s="4" t="s">
        <v>37</v>
      </c>
      <c r="D56" s="6">
        <f t="shared" ref="D56:E56" si="40">SUM(D51:D55)</f>
        <v>29441</v>
      </c>
      <c r="E56" s="6">
        <f t="shared" si="40"/>
        <v>31998</v>
      </c>
      <c r="F56" s="6">
        <f>SUM(F51:F55)</f>
        <v>33583</v>
      </c>
      <c r="G56" s="6">
        <f>SUM(G51:G55)</f>
        <v>35464</v>
      </c>
      <c r="H56" s="6">
        <f>SUM(H51:H55)</f>
        <v>37108</v>
      </c>
      <c r="I56" s="6">
        <f t="shared" ref="I56:M56" si="41">SUM(I51:I55)</f>
        <v>40638.220997784811</v>
      </c>
      <c r="J56" s="6">
        <f t="shared" si="41"/>
        <v>44595.648127002511</v>
      </c>
      <c r="K56" s="6">
        <f t="shared" si="41"/>
        <v>49048.862226912694</v>
      </c>
      <c r="L56" s="6">
        <f t="shared" si="41"/>
        <v>54080.173832454486</v>
      </c>
      <c r="M56" s="6">
        <f t="shared" si="41"/>
        <v>59788.732758558937</v>
      </c>
    </row>
    <row r="58" spans="3:13" x14ac:dyDescent="0.3">
      <c r="C58" s="1" t="s">
        <v>38</v>
      </c>
      <c r="D58" s="7">
        <v>0</v>
      </c>
      <c r="E58" s="7">
        <v>0</v>
      </c>
      <c r="F58" s="7">
        <v>0</v>
      </c>
      <c r="G58" s="7">
        <v>0</v>
      </c>
      <c r="H58" s="7">
        <v>0</v>
      </c>
      <c r="I58" s="12">
        <v>0</v>
      </c>
      <c r="J58" s="5">
        <f t="shared" ref="J58:M58" si="42">I58</f>
        <v>0</v>
      </c>
      <c r="K58" s="5">
        <f t="shared" si="42"/>
        <v>0</v>
      </c>
      <c r="L58" s="5">
        <f t="shared" si="42"/>
        <v>0</v>
      </c>
      <c r="M58" s="5">
        <f t="shared" si="42"/>
        <v>0</v>
      </c>
    </row>
    <row r="59" spans="3:13" x14ac:dyDescent="0.3">
      <c r="C59" s="1" t="s">
        <v>4</v>
      </c>
      <c r="D59" s="7">
        <v>6692</v>
      </c>
      <c r="E59" s="7">
        <v>6484</v>
      </c>
      <c r="F59" s="7">
        <v>5377</v>
      </c>
      <c r="G59" s="7">
        <v>5794</v>
      </c>
      <c r="H59" s="7">
        <v>5713</v>
      </c>
      <c r="I59" s="5">
        <f>H59</f>
        <v>5713</v>
      </c>
      <c r="J59" s="5">
        <f t="shared" ref="J59:M59" si="43">I59</f>
        <v>5713</v>
      </c>
      <c r="K59" s="5">
        <f t="shared" si="43"/>
        <v>5713</v>
      </c>
      <c r="L59" s="5">
        <f t="shared" si="43"/>
        <v>5713</v>
      </c>
      <c r="M59" s="5">
        <f t="shared" si="43"/>
        <v>5713</v>
      </c>
    </row>
    <row r="60" spans="3:13" x14ac:dyDescent="0.3">
      <c r="C60" s="1" t="s">
        <v>49</v>
      </c>
      <c r="D60" s="7">
        <v>2642</v>
      </c>
      <c r="E60" s="7">
        <v>2482</v>
      </c>
      <c r="F60" s="7">
        <v>2426</v>
      </c>
      <c r="G60" s="7">
        <v>2375</v>
      </c>
      <c r="H60" s="7">
        <v>2460</v>
      </c>
      <c r="I60" s="5">
        <f>H60</f>
        <v>2460</v>
      </c>
      <c r="J60" s="5">
        <f t="shared" ref="J60:M60" si="44">I60</f>
        <v>2460</v>
      </c>
      <c r="K60" s="5">
        <f t="shared" si="44"/>
        <v>2460</v>
      </c>
      <c r="L60" s="5">
        <f t="shared" si="44"/>
        <v>2460</v>
      </c>
      <c r="M60" s="5">
        <f t="shared" si="44"/>
        <v>2460</v>
      </c>
    </row>
    <row r="61" spans="3:13" x14ac:dyDescent="0.3">
      <c r="C61" s="1" t="s">
        <v>39</v>
      </c>
      <c r="D61" s="7">
        <v>2415</v>
      </c>
      <c r="E61" s="7">
        <v>2555</v>
      </c>
      <c r="F61" s="7">
        <v>2550</v>
      </c>
      <c r="G61" s="7">
        <v>2576</v>
      </c>
      <c r="H61" s="7">
        <v>2654</v>
      </c>
      <c r="I61" s="5">
        <f>H61</f>
        <v>2654</v>
      </c>
      <c r="J61" s="5">
        <f t="shared" ref="J61:M61" si="45">I61</f>
        <v>2654</v>
      </c>
      <c r="K61" s="5">
        <f t="shared" si="45"/>
        <v>2654</v>
      </c>
      <c r="L61" s="5">
        <f t="shared" si="45"/>
        <v>2654</v>
      </c>
      <c r="M61" s="5">
        <f t="shared" si="45"/>
        <v>2654</v>
      </c>
    </row>
    <row r="62" spans="3:13" x14ac:dyDescent="0.3">
      <c r="C62" s="4" t="s">
        <v>40</v>
      </c>
      <c r="D62" s="6">
        <f>SUM(D58:D61)+D56</f>
        <v>41190</v>
      </c>
      <c r="E62" s="6">
        <f>SUM(E58:E61)+E56</f>
        <v>43519</v>
      </c>
      <c r="F62" s="6">
        <f>SUM(F58:F61)+F56</f>
        <v>43936</v>
      </c>
      <c r="G62" s="6">
        <f t="shared" ref="G62:H62" si="46">SUM(G58:G61)+G56</f>
        <v>46209</v>
      </c>
      <c r="H62" s="6">
        <f t="shared" si="46"/>
        <v>47935</v>
      </c>
      <c r="I62" s="6">
        <f>SUM(I58:I61)+I56</f>
        <v>51465.220997784811</v>
      </c>
      <c r="J62" s="6">
        <f t="shared" ref="J62" si="47">SUM(J58:J61)+J56</f>
        <v>55422.648127002511</v>
      </c>
      <c r="K62" s="6">
        <f t="shared" ref="K62:L62" si="48">SUM(K58:K61)+K56</f>
        <v>59875.862226912694</v>
      </c>
      <c r="L62" s="6">
        <f t="shared" si="48"/>
        <v>64907.173832454486</v>
      </c>
      <c r="M62" s="6">
        <f t="shared" ref="M62" si="49">SUM(M58:M61)+M56</f>
        <v>70615.732758558937</v>
      </c>
    </row>
    <row r="64" spans="3:13" x14ac:dyDescent="0.3">
      <c r="C64" s="1" t="s">
        <v>41</v>
      </c>
      <c r="D64" s="7">
        <v>7035</v>
      </c>
      <c r="E64" s="7">
        <v>6886</v>
      </c>
      <c r="F64" s="7">
        <v>7342</v>
      </c>
      <c r="G64" s="7">
        <v>7831</v>
      </c>
      <c r="H64" s="7">
        <v>8284</v>
      </c>
      <c r="I64" s="5">
        <f>I77</f>
        <v>8755</v>
      </c>
      <c r="J64" s="5">
        <f t="shared" ref="J64:M64" si="50">J77</f>
        <v>9226</v>
      </c>
      <c r="K64" s="5">
        <f t="shared" si="50"/>
        <v>9697</v>
      </c>
      <c r="L64" s="5">
        <f t="shared" si="50"/>
        <v>10168</v>
      </c>
      <c r="M64" s="5">
        <f t="shared" si="50"/>
        <v>10639</v>
      </c>
    </row>
    <row r="65" spans="2:13" x14ac:dyDescent="0.3">
      <c r="C65" s="1" t="s">
        <v>42</v>
      </c>
      <c r="D65" s="7">
        <v>0</v>
      </c>
      <c r="E65" s="7">
        <v>0</v>
      </c>
      <c r="F65" s="7">
        <v>0</v>
      </c>
      <c r="G65" s="7">
        <v>0</v>
      </c>
      <c r="H65" s="7">
        <v>0</v>
      </c>
      <c r="I65" s="5">
        <f>I81</f>
        <v>0</v>
      </c>
      <c r="J65" s="5">
        <f t="shared" ref="J65:M65" si="51">J81</f>
        <v>0</v>
      </c>
      <c r="K65" s="5">
        <f t="shared" si="51"/>
        <v>0</v>
      </c>
      <c r="L65" s="5">
        <f t="shared" si="51"/>
        <v>0</v>
      </c>
      <c r="M65" s="5">
        <f t="shared" si="51"/>
        <v>0</v>
      </c>
    </row>
    <row r="66" spans="2:13" x14ac:dyDescent="0.3">
      <c r="C66" s="1" t="s">
        <v>43</v>
      </c>
      <c r="D66" s="7">
        <v>-1137</v>
      </c>
      <c r="E66" s="7">
        <v>-1829</v>
      </c>
      <c r="F66" s="7">
        <v>-1805</v>
      </c>
      <c r="G66" s="7">
        <v>-1828</v>
      </c>
      <c r="H66" s="7">
        <v>-1770</v>
      </c>
      <c r="I66" s="5">
        <f>AVERAGE(F66:H66)</f>
        <v>-1801</v>
      </c>
      <c r="J66" s="5">
        <f t="shared" ref="J66:M66" si="52">I66</f>
        <v>-1801</v>
      </c>
      <c r="K66" s="5">
        <f t="shared" si="52"/>
        <v>-1801</v>
      </c>
      <c r="L66" s="5">
        <f t="shared" si="52"/>
        <v>-1801</v>
      </c>
      <c r="M66" s="5">
        <f t="shared" si="52"/>
        <v>-1801</v>
      </c>
    </row>
    <row r="67" spans="2:13" x14ac:dyDescent="0.3">
      <c r="C67" s="1" t="s">
        <v>77</v>
      </c>
      <c r="D67" s="7">
        <v>12180</v>
      </c>
      <c r="E67" s="7">
        <v>15590</v>
      </c>
      <c r="F67" s="7">
        <v>19521</v>
      </c>
      <c r="G67" s="7">
        <v>17619</v>
      </c>
      <c r="H67" s="7">
        <v>22650</v>
      </c>
      <c r="I67" s="5">
        <f>I86</f>
        <v>28863.228314780736</v>
      </c>
      <c r="J67" s="5">
        <f t="shared" ref="J67:M67" si="53">J86</f>
        <v>35795.129658187652</v>
      </c>
      <c r="K67" s="5">
        <f t="shared" si="53"/>
        <v>43520.560460511158</v>
      </c>
      <c r="L67" s="5">
        <f t="shared" si="53"/>
        <v>52107.833388423911</v>
      </c>
      <c r="M67" s="5">
        <f t="shared" si="53"/>
        <v>61633.432960433587</v>
      </c>
    </row>
    <row r="68" spans="2:13" x14ac:dyDescent="0.3">
      <c r="C68" s="4" t="s">
        <v>44</v>
      </c>
      <c r="D68" s="6">
        <f t="shared" ref="D68:E68" si="54">SUM(D64:D67)</f>
        <v>18078</v>
      </c>
      <c r="E68" s="6">
        <f t="shared" si="54"/>
        <v>20647</v>
      </c>
      <c r="F68" s="6">
        <f>SUM(F64:F67)</f>
        <v>25058</v>
      </c>
      <c r="G68" s="6">
        <f>SUM(G64:G67)</f>
        <v>23622</v>
      </c>
      <c r="H68" s="6">
        <f>SUM(H64:H67)</f>
        <v>29164</v>
      </c>
      <c r="I68" s="6">
        <f t="shared" ref="I68:M68" si="55">SUM(I64:I67)</f>
        <v>35817.228314780732</v>
      </c>
      <c r="J68" s="6">
        <f t="shared" si="55"/>
        <v>43220.129658187652</v>
      </c>
      <c r="K68" s="6">
        <f t="shared" si="55"/>
        <v>51416.560460511158</v>
      </c>
      <c r="L68" s="6">
        <f t="shared" si="55"/>
        <v>60474.833388423911</v>
      </c>
      <c r="M68" s="6">
        <f t="shared" si="55"/>
        <v>70471.432960433594</v>
      </c>
    </row>
    <row r="69" spans="2:13" x14ac:dyDescent="0.3">
      <c r="F69" s="5"/>
      <c r="G69" s="5"/>
      <c r="H69" s="5"/>
    </row>
    <row r="70" spans="2:13" x14ac:dyDescent="0.3">
      <c r="C70" s="4" t="s">
        <v>45</v>
      </c>
      <c r="D70" s="6">
        <f t="shared" ref="D70:E70" si="56">D68+D62</f>
        <v>59268</v>
      </c>
      <c r="E70" s="6">
        <f t="shared" si="56"/>
        <v>64166</v>
      </c>
      <c r="F70" s="6">
        <f>F68+F62</f>
        <v>68994</v>
      </c>
      <c r="G70" s="6">
        <f t="shared" ref="G70:I70" si="57">G68+G62</f>
        <v>69831</v>
      </c>
      <c r="H70" s="6">
        <f t="shared" si="57"/>
        <v>77099</v>
      </c>
      <c r="I70" s="6">
        <f t="shared" si="57"/>
        <v>87282.449312565543</v>
      </c>
      <c r="J70" s="6">
        <f t="shared" ref="J70:M70" si="58">J68+J62</f>
        <v>98642.777785190163</v>
      </c>
      <c r="K70" s="6">
        <f t="shared" si="58"/>
        <v>111292.42268742385</v>
      </c>
      <c r="L70" s="6">
        <f t="shared" si="58"/>
        <v>125382.0072208784</v>
      </c>
      <c r="M70" s="6">
        <f t="shared" si="58"/>
        <v>141087.16571899253</v>
      </c>
    </row>
    <row r="71" spans="2:13" x14ac:dyDescent="0.3">
      <c r="C71" s="1" t="s">
        <v>5</v>
      </c>
      <c r="D71" s="5">
        <f t="shared" ref="D71:E71" si="59">D49</f>
        <v>59268</v>
      </c>
      <c r="E71" s="5">
        <f t="shared" si="59"/>
        <v>64166</v>
      </c>
      <c r="F71" s="5">
        <f>F49</f>
        <v>68994</v>
      </c>
      <c r="G71" s="5">
        <f t="shared" ref="G71:I71" si="60">G49</f>
        <v>69831</v>
      </c>
      <c r="H71" s="5">
        <f t="shared" si="60"/>
        <v>77099</v>
      </c>
      <c r="I71" s="5">
        <f t="shared" si="60"/>
        <v>87282.449312565543</v>
      </c>
      <c r="J71" s="5">
        <f t="shared" ref="J71:M71" si="61">J49</f>
        <v>98642.777785190177</v>
      </c>
      <c r="K71" s="5">
        <f t="shared" si="61"/>
        <v>111292.42268742385</v>
      </c>
      <c r="L71" s="5">
        <f t="shared" si="61"/>
        <v>125382.00722087841</v>
      </c>
      <c r="M71" s="5">
        <f t="shared" si="61"/>
        <v>141087.16571899253</v>
      </c>
    </row>
    <row r="72" spans="2:13" x14ac:dyDescent="0.3">
      <c r="C72" s="1" t="s">
        <v>50</v>
      </c>
      <c r="D72" s="5">
        <f t="shared" ref="D72:E72" si="62">D71-D70</f>
        <v>0</v>
      </c>
      <c r="E72" s="5">
        <f t="shared" si="62"/>
        <v>0</v>
      </c>
      <c r="F72" s="5">
        <f>F71-F70</f>
        <v>0</v>
      </c>
      <c r="G72" s="5">
        <f t="shared" ref="G72:I72" si="63">G71-G70</f>
        <v>0</v>
      </c>
      <c r="H72" s="5">
        <f t="shared" si="63"/>
        <v>0</v>
      </c>
      <c r="I72" s="5">
        <f t="shared" si="63"/>
        <v>0</v>
      </c>
      <c r="J72" s="5">
        <f t="shared" ref="J72" si="64">J71-J70</f>
        <v>0</v>
      </c>
      <c r="K72" s="5">
        <f t="shared" ref="K72:L72" si="65">K71-K70</f>
        <v>0</v>
      </c>
      <c r="L72" s="5">
        <f t="shared" si="65"/>
        <v>0</v>
      </c>
      <c r="M72" s="5">
        <f t="shared" ref="M72" si="66">M71-M70</f>
        <v>0</v>
      </c>
    </row>
    <row r="74" spans="2:13" x14ac:dyDescent="0.3">
      <c r="B74" s="1" t="s">
        <v>52</v>
      </c>
      <c r="C74" s="4" t="s">
        <v>53</v>
      </c>
      <c r="D74" s="4"/>
      <c r="E74" s="4"/>
      <c r="H74" s="5"/>
    </row>
    <row r="75" spans="2:13" x14ac:dyDescent="0.3">
      <c r="C75" s="1" t="s">
        <v>54</v>
      </c>
      <c r="H75" s="5"/>
      <c r="I75" s="5">
        <f>H64</f>
        <v>8284</v>
      </c>
      <c r="J75" s="5">
        <f>I77</f>
        <v>8755</v>
      </c>
      <c r="K75" s="5">
        <f t="shared" ref="K75:M75" si="67">J77</f>
        <v>9226</v>
      </c>
      <c r="L75" s="5">
        <f t="shared" si="67"/>
        <v>9697</v>
      </c>
      <c r="M75" s="5">
        <f t="shared" si="67"/>
        <v>10168</v>
      </c>
    </row>
    <row r="76" spans="2:13" x14ac:dyDescent="0.3">
      <c r="C76" s="1" t="s">
        <v>55</v>
      </c>
      <c r="I76" s="5">
        <v>471</v>
      </c>
      <c r="J76" s="5">
        <f>I76</f>
        <v>471</v>
      </c>
      <c r="K76" s="5">
        <f t="shared" ref="K76:M76" si="68">J76</f>
        <v>471</v>
      </c>
      <c r="L76" s="5">
        <f t="shared" si="68"/>
        <v>471</v>
      </c>
      <c r="M76" s="5">
        <f t="shared" si="68"/>
        <v>471</v>
      </c>
    </row>
    <row r="77" spans="2:13" x14ac:dyDescent="0.3">
      <c r="C77" s="4" t="s">
        <v>56</v>
      </c>
      <c r="D77" s="4"/>
      <c r="E77" s="4"/>
      <c r="F77" s="4"/>
      <c r="G77" s="4"/>
      <c r="H77" s="4"/>
      <c r="I77" s="5">
        <f>SUM(I75:I76)</f>
        <v>8755</v>
      </c>
      <c r="J77" s="5">
        <f>SUM(J75:J76)</f>
        <v>9226</v>
      </c>
      <c r="K77" s="5">
        <f t="shared" ref="K77:M77" si="69">SUM(K75:K76)</f>
        <v>9697</v>
      </c>
      <c r="L77" s="5">
        <f t="shared" si="69"/>
        <v>10168</v>
      </c>
      <c r="M77" s="5">
        <f t="shared" si="69"/>
        <v>10639</v>
      </c>
    </row>
    <row r="79" spans="2:13" x14ac:dyDescent="0.3">
      <c r="C79" s="1" t="s">
        <v>57</v>
      </c>
      <c r="I79" s="5">
        <f>H65</f>
        <v>0</v>
      </c>
      <c r="J79" s="5">
        <f>I81</f>
        <v>0</v>
      </c>
      <c r="K79" s="5">
        <f t="shared" ref="K79:M79" si="70">J81</f>
        <v>0</v>
      </c>
      <c r="L79" s="5">
        <f t="shared" si="70"/>
        <v>0</v>
      </c>
      <c r="M79" s="5">
        <f t="shared" si="70"/>
        <v>0</v>
      </c>
    </row>
    <row r="80" spans="2:13" x14ac:dyDescent="0.3">
      <c r="C80" s="1" t="s">
        <v>58</v>
      </c>
      <c r="I80" s="5">
        <v>0</v>
      </c>
      <c r="J80" s="5">
        <v>0</v>
      </c>
      <c r="K80" s="5">
        <v>0</v>
      </c>
      <c r="L80" s="5">
        <v>0</v>
      </c>
      <c r="M80" s="5">
        <v>0</v>
      </c>
    </row>
    <row r="81" spans="2:13" x14ac:dyDescent="0.3">
      <c r="C81" s="4" t="s">
        <v>59</v>
      </c>
      <c r="D81" s="4"/>
      <c r="E81" s="4"/>
      <c r="F81" s="4"/>
      <c r="G81" s="4"/>
      <c r="H81" s="4"/>
      <c r="I81" s="6">
        <f>SUM(I79:I80)</f>
        <v>0</v>
      </c>
      <c r="J81" s="6">
        <f>SUM(J79:J80)</f>
        <v>0</v>
      </c>
      <c r="K81" s="6">
        <f t="shared" ref="K81:M81" si="71">SUM(K79:K80)</f>
        <v>0</v>
      </c>
      <c r="L81" s="6">
        <f t="shared" si="71"/>
        <v>0</v>
      </c>
      <c r="M81" s="6">
        <f t="shared" si="71"/>
        <v>0</v>
      </c>
    </row>
    <row r="83" spans="2:13" x14ac:dyDescent="0.3">
      <c r="C83" s="1" t="s">
        <v>60</v>
      </c>
      <c r="I83" s="5">
        <f>H67</f>
        <v>22650</v>
      </c>
      <c r="J83" s="5">
        <f>I86</f>
        <v>28863.228314780736</v>
      </c>
      <c r="K83" s="5">
        <f>J86</f>
        <v>35795.129658187652</v>
      </c>
      <c r="L83" s="5">
        <f>K86</f>
        <v>43520.560460511158</v>
      </c>
      <c r="M83" s="5">
        <f>L86</f>
        <v>52107.833388423911</v>
      </c>
    </row>
    <row r="84" spans="2:13" x14ac:dyDescent="0.3">
      <c r="C84" s="1" t="s">
        <v>1</v>
      </c>
      <c r="I84" s="5">
        <f>I16</f>
        <v>8521.2283147807357</v>
      </c>
      <c r="J84" s="5">
        <f>J16</f>
        <v>9239.9013434069166</v>
      </c>
      <c r="K84" s="5">
        <f>K16</f>
        <v>10033.430802323503</v>
      </c>
      <c r="L84" s="5">
        <f>L16</f>
        <v>10895.272927912751</v>
      </c>
      <c r="M84" s="5">
        <f>M16</f>
        <v>11833.599572009676</v>
      </c>
    </row>
    <row r="85" spans="2:13" x14ac:dyDescent="0.3">
      <c r="C85" s="1" t="s">
        <v>61</v>
      </c>
      <c r="I85" s="5">
        <v>-2308</v>
      </c>
      <c r="J85" s="5">
        <v>-2308</v>
      </c>
      <c r="K85" s="5">
        <v>-2308</v>
      </c>
      <c r="L85" s="5">
        <v>-2308</v>
      </c>
      <c r="M85" s="5">
        <v>-2308</v>
      </c>
    </row>
    <row r="86" spans="2:13" x14ac:dyDescent="0.3">
      <c r="C86" s="4" t="s">
        <v>62</v>
      </c>
      <c r="D86" s="4"/>
      <c r="E86" s="4"/>
      <c r="F86" s="4"/>
      <c r="G86" s="4"/>
      <c r="H86" s="4"/>
      <c r="I86" s="6">
        <f>SUM(I83:I85)</f>
        <v>28863.228314780736</v>
      </c>
      <c r="J86" s="6">
        <f>SUM(J83:J85)</f>
        <v>35795.129658187652</v>
      </c>
      <c r="K86" s="6">
        <f t="shared" ref="K86:M86" si="72">SUM(K83:K85)</f>
        <v>43520.560460511158</v>
      </c>
      <c r="L86" s="6">
        <f t="shared" si="72"/>
        <v>52107.833388423911</v>
      </c>
      <c r="M86" s="6">
        <f t="shared" si="72"/>
        <v>61633.432960433587</v>
      </c>
    </row>
    <row r="89" spans="2:13" x14ac:dyDescent="0.3">
      <c r="B89" s="1" t="s">
        <v>52</v>
      </c>
      <c r="C89" s="4" t="s">
        <v>51</v>
      </c>
      <c r="D89" s="4"/>
      <c r="E89" s="4"/>
    </row>
    <row r="91" spans="2:13" x14ac:dyDescent="0.3">
      <c r="C91" s="4" t="s">
        <v>63</v>
      </c>
      <c r="D91" s="4"/>
      <c r="E91" s="6">
        <f>E37-D37</f>
        <v>-1055</v>
      </c>
      <c r="F91" s="6">
        <f t="shared" ref="F91:M91" si="73">F37-E37</f>
        <v>3497</v>
      </c>
      <c r="G91" s="6">
        <f t="shared" si="73"/>
        <v>-3794</v>
      </c>
      <c r="H91" s="6">
        <f t="shared" si="73"/>
        <v>4255</v>
      </c>
      <c r="I91" s="6">
        <f t="shared" si="73"/>
        <v>5128.828102323474</v>
      </c>
      <c r="J91" s="6">
        <f t="shared" si="73"/>
        <v>6256.8924108682259</v>
      </c>
      <c r="K91" s="6">
        <f t="shared" si="73"/>
        <v>7125.0781506549974</v>
      </c>
      <c r="L91" s="6">
        <f t="shared" si="73"/>
        <v>8156.5077268323876</v>
      </c>
      <c r="M91" s="6">
        <f t="shared" si="73"/>
        <v>9423.0948693947648</v>
      </c>
    </row>
    <row r="93" spans="2:13" x14ac:dyDescent="0.3">
      <c r="C93" s="4" t="s">
        <v>83</v>
      </c>
      <c r="D93" s="5">
        <v>1003</v>
      </c>
      <c r="E93" s="5">
        <v>-1563</v>
      </c>
      <c r="F93" s="5">
        <v>1018</v>
      </c>
      <c r="G93" s="5">
        <v>611</v>
      </c>
      <c r="H93" s="5">
        <v>1764</v>
      </c>
      <c r="I93" s="5">
        <f>I6*I95</f>
        <v>1273.139169898265</v>
      </c>
      <c r="J93" s="5">
        <f t="shared" ref="J93:M93" si="74">J6*J95</f>
        <v>1357.780251898625</v>
      </c>
      <c r="K93" s="5">
        <f t="shared" si="74"/>
        <v>1448.0484585147208</v>
      </c>
      <c r="L93" s="5">
        <f t="shared" si="74"/>
        <v>1544.3178933224124</v>
      </c>
      <c r="M93" s="5">
        <f t="shared" si="74"/>
        <v>1646.9875311231024</v>
      </c>
    </row>
    <row r="94" spans="2:13" x14ac:dyDescent="0.3">
      <c r="I94" s="5"/>
      <c r="J94" s="5"/>
      <c r="K94" s="5"/>
      <c r="L94" s="5"/>
      <c r="M94" s="5"/>
    </row>
    <row r="95" spans="2:13" x14ac:dyDescent="0.3">
      <c r="C95" s="11" t="s">
        <v>84</v>
      </c>
      <c r="D95" s="9">
        <f>D93/D6</f>
        <v>5.1192013433437626E-3</v>
      </c>
      <c r="E95" s="9">
        <f t="shared" ref="E95:H95" si="75">E93/E6</f>
        <v>-6.8868581298412897E-3</v>
      </c>
      <c r="F95" s="9">
        <f t="shared" si="75"/>
        <v>4.2015766230550167E-3</v>
      </c>
      <c r="G95" s="9">
        <f t="shared" si="75"/>
        <v>2.4012293036435018E-3</v>
      </c>
      <c r="H95" s="9">
        <f t="shared" si="75"/>
        <v>6.4090686140934111E-3</v>
      </c>
      <c r="I95" s="9">
        <f>AVERAGE(F95:H95)</f>
        <v>4.3372915135973097E-3</v>
      </c>
      <c r="J95" s="9">
        <f>I95</f>
        <v>4.3372915135973097E-3</v>
      </c>
      <c r="K95" s="9">
        <f t="shared" ref="K95:M95" si="76">J95</f>
        <v>4.3372915135973097E-3</v>
      </c>
      <c r="L95" s="9">
        <f t="shared" si="76"/>
        <v>4.3372915135973097E-3</v>
      </c>
      <c r="M95" s="9">
        <f t="shared" si="76"/>
        <v>4.3372915135973097E-3</v>
      </c>
    </row>
    <row r="96" spans="2:13" x14ac:dyDescent="0.3">
      <c r="I96" s="5"/>
      <c r="J96" s="5"/>
      <c r="K96" s="5"/>
      <c r="L96" s="5"/>
      <c r="M96" s="5"/>
    </row>
    <row r="97" spans="3:13" x14ac:dyDescent="0.3">
      <c r="I97" s="5"/>
      <c r="J97" s="5"/>
      <c r="K97" s="5"/>
      <c r="L97" s="5"/>
      <c r="M97" s="5"/>
    </row>
    <row r="98" spans="3:13" x14ac:dyDescent="0.3">
      <c r="I98" s="5"/>
      <c r="J98" s="5"/>
      <c r="K98" s="5"/>
      <c r="L98" s="5"/>
      <c r="M98" s="5"/>
    </row>
    <row r="99" spans="3:13" x14ac:dyDescent="0.3">
      <c r="C99" s="4"/>
      <c r="D99" s="4"/>
      <c r="E99" s="4"/>
      <c r="F99" s="4"/>
      <c r="G99" s="4"/>
      <c r="H99" s="4"/>
      <c r="I99" s="6"/>
      <c r="J99" s="6"/>
      <c r="K99" s="6"/>
      <c r="L99" s="6"/>
      <c r="M99" s="6"/>
    </row>
    <row r="101" spans="3:13" x14ac:dyDescent="0.3">
      <c r="I101" s="5"/>
      <c r="J101" s="5"/>
      <c r="K101" s="5"/>
      <c r="L101" s="5"/>
      <c r="M101" s="5"/>
    </row>
    <row r="102" spans="3:13" x14ac:dyDescent="0.3">
      <c r="I102" s="5"/>
      <c r="J102" s="5"/>
      <c r="K102" s="5"/>
      <c r="L102" s="5"/>
      <c r="M102" s="5"/>
    </row>
    <row r="103" spans="3:13" x14ac:dyDescent="0.3">
      <c r="C103" s="4"/>
      <c r="D103" s="4"/>
      <c r="E103" s="4"/>
      <c r="F103" s="4"/>
      <c r="G103" s="4"/>
      <c r="H103" s="4"/>
      <c r="I103" s="6"/>
      <c r="J103" s="6"/>
      <c r="K103" s="6"/>
      <c r="L103" s="6"/>
      <c r="M103" s="6"/>
    </row>
    <row r="105" spans="3:13" x14ac:dyDescent="0.3">
      <c r="I105" s="5"/>
      <c r="J105" s="5"/>
      <c r="K105" s="5"/>
      <c r="L105" s="5"/>
      <c r="M105" s="5"/>
    </row>
    <row r="107" spans="3:13" x14ac:dyDescent="0.3">
      <c r="I107" s="5"/>
      <c r="J107" s="5"/>
      <c r="K107" s="5"/>
      <c r="L107" s="5"/>
      <c r="M107" s="5"/>
    </row>
    <row r="108" spans="3:13" x14ac:dyDescent="0.3">
      <c r="I108" s="5"/>
      <c r="J108" s="5"/>
      <c r="K108" s="5"/>
      <c r="L108" s="5"/>
      <c r="M108" s="5"/>
    </row>
    <row r="109" spans="3:13" x14ac:dyDescent="0.3">
      <c r="I109" s="5"/>
      <c r="J109" s="5"/>
      <c r="K109" s="5"/>
      <c r="L109" s="5"/>
      <c r="M109" s="5"/>
    </row>
    <row r="110" spans="3:13" x14ac:dyDescent="0.3">
      <c r="I110" s="5"/>
      <c r="J110" s="5"/>
      <c r="K110" s="5"/>
      <c r="L110" s="5"/>
      <c r="M110" s="5"/>
    </row>
    <row r="111" spans="3:13" x14ac:dyDescent="0.3">
      <c r="I111" s="5"/>
      <c r="J111" s="5"/>
      <c r="K111" s="5"/>
      <c r="L111" s="5"/>
      <c r="M111" s="5"/>
    </row>
    <row r="112" spans="3:13" x14ac:dyDescent="0.3">
      <c r="C112" s="4"/>
      <c r="D112" s="4"/>
      <c r="E112" s="4"/>
      <c r="I112" s="6"/>
      <c r="J112" s="6"/>
      <c r="K112" s="6"/>
      <c r="L112" s="6"/>
      <c r="M112" s="6"/>
    </row>
  </sheetData>
  <mergeCells count="1">
    <mergeCell ref="D1:H2"/>
  </mergeCells>
  <pageMargins left="0.7" right="0.7" top="0.75" bottom="0.75" header="0.3" footer="0.3"/>
  <pageSetup orientation="portrait" r:id="rId1"/>
  <ignoredErrors>
    <ignoredError sqref="I40 J40:M40" formula="1"/>
    <ignoredError sqref="G32:H33 I38 I66 E32:F33"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5CD12-7AD9-4955-8F5F-850ED1B91DAF}">
  <dimension ref="A1:P94"/>
  <sheetViews>
    <sheetView showGridLines="0" tabSelected="1" topLeftCell="A48" zoomScale="99" workbookViewId="0">
      <selection activeCell="I55" sqref="I55"/>
    </sheetView>
  </sheetViews>
  <sheetFormatPr defaultRowHeight="14" x14ac:dyDescent="0.3"/>
  <cols>
    <col min="1" max="1" width="4.6328125" style="14" customWidth="1"/>
    <col min="2" max="2" width="12.54296875" style="1" customWidth="1"/>
    <col min="3" max="3" width="13.08984375" style="1" customWidth="1"/>
    <col min="4" max="4" width="8.6328125" style="1" customWidth="1"/>
    <col min="5" max="14" width="10.6328125" style="1" customWidth="1"/>
    <col min="15" max="16384" width="8.7265625" style="1"/>
  </cols>
  <sheetData>
    <row r="1" spans="1:16" x14ac:dyDescent="0.3">
      <c r="A1" s="14" t="s">
        <v>52</v>
      </c>
    </row>
    <row r="2" spans="1:16" ht="17.5" x14ac:dyDescent="0.35">
      <c r="B2" s="13" t="s">
        <v>66</v>
      </c>
    </row>
    <row r="4" spans="1:16" x14ac:dyDescent="0.3">
      <c r="B4" s="1" t="s">
        <v>67</v>
      </c>
      <c r="C4" s="15" t="e" vm="1">
        <v>#VALUE!</v>
      </c>
      <c r="E4" s="1" t="s">
        <v>126</v>
      </c>
      <c r="G4" s="57">
        <f ca="1">N83</f>
        <v>426.11015988054891</v>
      </c>
      <c r="I4" s="1" t="s">
        <v>129</v>
      </c>
      <c r="L4" s="24">
        <f ca="1">G4/G5-1</f>
        <v>-0.54681184803983096</v>
      </c>
    </row>
    <row r="5" spans="1:16" x14ac:dyDescent="0.3">
      <c r="B5" s="1" t="s">
        <v>68</v>
      </c>
      <c r="C5" s="16">
        <f ca="1">TODAY()</f>
        <v>46054</v>
      </c>
      <c r="E5" s="1" t="s">
        <v>127</v>
      </c>
      <c r="G5" s="57" cm="1">
        <f t="array" aca="1" ref="G5" ca="1">_FV(C4,"price")</f>
        <v>940.25</v>
      </c>
    </row>
    <row r="7" spans="1:16" x14ac:dyDescent="0.3">
      <c r="A7" s="14" t="s">
        <v>52</v>
      </c>
      <c r="B7" s="17" t="s">
        <v>69</v>
      </c>
      <c r="C7" s="18"/>
      <c r="D7" s="18"/>
      <c r="E7" s="18"/>
      <c r="F7" s="18"/>
      <c r="G7" s="18"/>
      <c r="H7" s="18"/>
      <c r="I7" s="18"/>
      <c r="J7" s="18"/>
      <c r="K7" s="18"/>
      <c r="L7" s="18"/>
      <c r="M7" s="18"/>
      <c r="N7" s="18"/>
      <c r="O7" s="18"/>
      <c r="P7" s="18"/>
    </row>
    <row r="8" spans="1:16" x14ac:dyDescent="0.3">
      <c r="B8" s="8" t="s">
        <v>88</v>
      </c>
      <c r="F8" s="8" t="s">
        <v>91</v>
      </c>
      <c r="J8" s="8" t="s">
        <v>92</v>
      </c>
      <c r="N8" s="8" t="s">
        <v>87</v>
      </c>
    </row>
    <row r="9" spans="1:16" x14ac:dyDescent="0.3">
      <c r="B9" s="1" t="s">
        <v>128</v>
      </c>
      <c r="D9" s="22">
        <v>3</v>
      </c>
      <c r="F9" s="1" t="s">
        <v>95</v>
      </c>
      <c r="H9" s="29">
        <v>0.9</v>
      </c>
      <c r="N9" s="1" t="s">
        <v>95</v>
      </c>
      <c r="P9" s="23">
        <v>1.1000000000000001</v>
      </c>
    </row>
    <row r="10" spans="1:16" x14ac:dyDescent="0.3">
      <c r="B10" s="1" t="s">
        <v>0</v>
      </c>
      <c r="D10" s="22">
        <f>D9</f>
        <v>3</v>
      </c>
      <c r="F10" s="1" t="s">
        <v>93</v>
      </c>
      <c r="H10" s="29">
        <v>0.04</v>
      </c>
      <c r="J10" s="1" t="s">
        <v>93</v>
      </c>
      <c r="L10" s="23">
        <v>0.05</v>
      </c>
      <c r="N10" s="1" t="s">
        <v>93</v>
      </c>
      <c r="P10" s="23">
        <v>0.06</v>
      </c>
    </row>
    <row r="11" spans="1:16" x14ac:dyDescent="0.3">
      <c r="B11" s="1" t="s">
        <v>72</v>
      </c>
      <c r="D11" s="22">
        <f t="shared" ref="D11:D13" si="0">D10</f>
        <v>3</v>
      </c>
      <c r="F11" s="1" t="s">
        <v>96</v>
      </c>
      <c r="H11" s="29">
        <v>0.95</v>
      </c>
      <c r="N11" s="1" t="s">
        <v>96</v>
      </c>
      <c r="P11" s="23">
        <v>1.05</v>
      </c>
    </row>
    <row r="12" spans="1:16" x14ac:dyDescent="0.3">
      <c r="B12" s="1" t="s">
        <v>89</v>
      </c>
      <c r="D12" s="22">
        <f t="shared" si="0"/>
        <v>3</v>
      </c>
      <c r="F12" s="1" t="s">
        <v>94</v>
      </c>
      <c r="H12" s="30">
        <v>3.6999999999999998E-2</v>
      </c>
      <c r="J12" s="1" t="s">
        <v>94</v>
      </c>
      <c r="L12" s="24">
        <v>0.04</v>
      </c>
      <c r="N12" s="1" t="s">
        <v>94</v>
      </c>
      <c r="P12" s="24">
        <v>4.2999999999999997E-2</v>
      </c>
    </row>
    <row r="13" spans="1:16" x14ac:dyDescent="0.3">
      <c r="B13" s="1" t="s">
        <v>90</v>
      </c>
      <c r="D13" s="22">
        <f t="shared" si="0"/>
        <v>3</v>
      </c>
      <c r="F13" s="1" t="s">
        <v>89</v>
      </c>
      <c r="H13" s="30">
        <f>L13+0.5%</f>
        <v>7.8448391261553091E-2</v>
      </c>
      <c r="J13" s="1" t="s">
        <v>89</v>
      </c>
      <c r="L13" s="24">
        <f>WACC!D22</f>
        <v>7.3448391261553087E-2</v>
      </c>
      <c r="N13" s="1" t="s">
        <v>89</v>
      </c>
      <c r="P13" s="24">
        <f>L13-0.05%</f>
        <v>7.2948391261553086E-2</v>
      </c>
    </row>
    <row r="14" spans="1:16" x14ac:dyDescent="0.3">
      <c r="F14" s="1" t="s">
        <v>90</v>
      </c>
      <c r="H14" s="30">
        <f>L14-0.005</f>
        <v>2.4999999999999998E-2</v>
      </c>
      <c r="J14" s="1" t="s">
        <v>90</v>
      </c>
      <c r="L14" s="24">
        <v>0.03</v>
      </c>
      <c r="N14" s="1" t="s">
        <v>90</v>
      </c>
      <c r="P14" s="24">
        <f>L14+0.005</f>
        <v>3.4999999999999996E-2</v>
      </c>
    </row>
    <row r="15" spans="1:16" x14ac:dyDescent="0.3">
      <c r="B15" s="1" t="s">
        <v>89</v>
      </c>
      <c r="D15" s="30">
        <f>CHOOSE(D12,H13,L13,P13)</f>
        <v>7.2948391261553086E-2</v>
      </c>
    </row>
    <row r="16" spans="1:16" x14ac:dyDescent="0.3">
      <c r="B16" s="1" t="s">
        <v>90</v>
      </c>
      <c r="D16" s="24">
        <f>CHOOSE(D13,H14,L14,P14)</f>
        <v>3.4999999999999996E-2</v>
      </c>
    </row>
    <row r="18" spans="1:14" x14ac:dyDescent="0.3">
      <c r="I18" s="33"/>
    </row>
    <row r="19" spans="1:14" x14ac:dyDescent="0.3">
      <c r="A19" s="14" t="s">
        <v>52</v>
      </c>
      <c r="B19" s="17" t="s">
        <v>2</v>
      </c>
      <c r="C19" s="17"/>
      <c r="D19" s="17"/>
      <c r="E19" s="17">
        <v>2021</v>
      </c>
      <c r="F19" s="17">
        <v>2022</v>
      </c>
      <c r="G19" s="17">
        <v>2023</v>
      </c>
      <c r="H19" s="17">
        <v>2024</v>
      </c>
      <c r="I19" s="34">
        <v>2025</v>
      </c>
      <c r="J19" s="17">
        <v>2026</v>
      </c>
      <c r="K19" s="17">
        <v>2027</v>
      </c>
      <c r="L19" s="17">
        <v>2028</v>
      </c>
      <c r="M19" s="17">
        <v>2029</v>
      </c>
      <c r="N19" s="17">
        <v>2030</v>
      </c>
    </row>
    <row r="20" spans="1:14" x14ac:dyDescent="0.3">
      <c r="B20" s="1" t="s">
        <v>0</v>
      </c>
      <c r="D20" s="4"/>
      <c r="E20" s="5">
        <f>'3_Statement_Model'!D6</f>
        <v>195929</v>
      </c>
      <c r="F20" s="5">
        <f>'3_Statement_Model'!E6</f>
        <v>226954</v>
      </c>
      <c r="G20" s="5">
        <f>'3_Statement_Model'!F6</f>
        <v>242290</v>
      </c>
      <c r="H20" s="5">
        <f>'3_Statement_Model'!G6</f>
        <v>254453</v>
      </c>
      <c r="I20" s="35">
        <f>'3_Statement_Model'!H6</f>
        <v>275235</v>
      </c>
      <c r="J20" s="5">
        <f>'3_Statement_Model'!I6</f>
        <v>293533.22595610714</v>
      </c>
      <c r="K20" s="5">
        <f>'3_Statement_Model'!J6</f>
        <v>313047.95807291602</v>
      </c>
      <c r="L20" s="5">
        <f>'3_Statement_Model'!K6</f>
        <v>333860.07234586886</v>
      </c>
      <c r="M20" s="5">
        <f>'3_Statement_Model'!L6</f>
        <v>356055.82158381818</v>
      </c>
      <c r="N20" s="5">
        <f>'3_Statement_Model'!M6</f>
        <v>379727.19287136546</v>
      </c>
    </row>
    <row r="21" spans="1:14" x14ac:dyDescent="0.3">
      <c r="B21" s="1" t="s">
        <v>86</v>
      </c>
      <c r="C21" s="4"/>
      <c r="D21" s="4"/>
      <c r="E21" s="4"/>
      <c r="F21" s="9">
        <f>F20/E20-1</f>
        <v>0.15834817714580285</v>
      </c>
      <c r="G21" s="9">
        <f t="shared" ref="G21:N21" si="1">G20/F20-1</f>
        <v>6.7573164606043568E-2</v>
      </c>
      <c r="H21" s="9">
        <f t="shared" si="1"/>
        <v>5.0200173345990251E-2</v>
      </c>
      <c r="I21" s="36">
        <f t="shared" si="1"/>
        <v>8.1673236314761422E-2</v>
      </c>
      <c r="J21" s="9">
        <f>J20/I20-1</f>
        <v>6.648219142226508E-2</v>
      </c>
      <c r="K21" s="9">
        <f t="shared" si="1"/>
        <v>6.648219142226508E-2</v>
      </c>
      <c r="L21" s="9">
        <f t="shared" si="1"/>
        <v>6.648219142226508E-2</v>
      </c>
      <c r="M21" s="9">
        <f t="shared" si="1"/>
        <v>6.648219142226508E-2</v>
      </c>
      <c r="N21" s="9">
        <f t="shared" si="1"/>
        <v>6.648219142226508E-2</v>
      </c>
    </row>
    <row r="22" spans="1:14" x14ac:dyDescent="0.3">
      <c r="C22" s="4"/>
      <c r="D22" s="4"/>
      <c r="E22" s="4"/>
      <c r="F22" s="4"/>
      <c r="G22" s="4"/>
      <c r="H22" s="4"/>
      <c r="I22" s="37"/>
      <c r="J22" s="4"/>
    </row>
    <row r="23" spans="1:14" x14ac:dyDescent="0.3">
      <c r="B23" s="1" t="s">
        <v>72</v>
      </c>
      <c r="C23" s="4"/>
      <c r="D23" s="4"/>
      <c r="E23" s="5">
        <f>'3_Statement_Model'!D9</f>
        <v>6708</v>
      </c>
      <c r="F23" s="5">
        <f>'3_Statement_Model'!E9</f>
        <v>7793</v>
      </c>
      <c r="G23" s="5">
        <f>'3_Statement_Model'!F9</f>
        <v>8114</v>
      </c>
      <c r="H23" s="5">
        <f>'3_Statement_Model'!G9</f>
        <v>9285</v>
      </c>
      <c r="I23" s="35">
        <f>'3_Statement_Model'!H9</f>
        <v>10383</v>
      </c>
      <c r="J23" s="5">
        <f>'3_Statement_Model'!I9</f>
        <v>10892.161789567879</v>
      </c>
      <c r="K23" s="5">
        <f>'3_Statement_Model'!J9</f>
        <v>11616.296574664186</v>
      </c>
      <c r="L23" s="5">
        <f>'3_Statement_Model'!K9</f>
        <v>12388.57342715883</v>
      </c>
      <c r="M23" s="5">
        <f>'3_Statement_Model'!L9</f>
        <v>13212.19293719199</v>
      </c>
      <c r="N23" s="5">
        <f>'3_Statement_Model'!M9</f>
        <v>14090.568477150257</v>
      </c>
    </row>
    <row r="24" spans="1:14" x14ac:dyDescent="0.3">
      <c r="B24" s="1" t="s">
        <v>73</v>
      </c>
      <c r="C24" s="4"/>
      <c r="D24" s="4"/>
      <c r="E24" s="9">
        <f>E23/E20</f>
        <v>3.4236891935343926E-2</v>
      </c>
      <c r="F24" s="9">
        <f t="shared" ref="F24:N24" si="2">F23/F20</f>
        <v>3.4337354706240032E-2</v>
      </c>
      <c r="G24" s="9">
        <f t="shared" si="2"/>
        <v>3.3488794419910026E-2</v>
      </c>
      <c r="H24" s="9">
        <f t="shared" si="2"/>
        <v>3.6490039417888566E-2</v>
      </c>
      <c r="I24" s="36">
        <f t="shared" si="2"/>
        <v>3.7724126655403561E-2</v>
      </c>
      <c r="J24" s="9">
        <f t="shared" si="2"/>
        <v>3.710708303664613E-2</v>
      </c>
      <c r="K24" s="9">
        <f t="shared" si="2"/>
        <v>3.7107083036646046E-2</v>
      </c>
      <c r="L24" s="9">
        <f t="shared" si="2"/>
        <v>3.7107083036646102E-2</v>
      </c>
      <c r="M24" s="9">
        <f t="shared" si="2"/>
        <v>3.7107083036646102E-2</v>
      </c>
      <c r="N24" s="9">
        <f t="shared" si="2"/>
        <v>3.7107083036646019E-2</v>
      </c>
    </row>
    <row r="25" spans="1:14" x14ac:dyDescent="0.3">
      <c r="C25" s="4"/>
      <c r="D25" s="4"/>
      <c r="E25" s="4"/>
      <c r="F25" s="4"/>
      <c r="G25" s="4"/>
      <c r="H25" s="4"/>
      <c r="I25" s="37"/>
      <c r="J25" s="4"/>
    </row>
    <row r="26" spans="1:14" x14ac:dyDescent="0.3">
      <c r="B26" s="1" t="s">
        <v>74</v>
      </c>
      <c r="C26" s="4"/>
      <c r="D26" s="4"/>
      <c r="E26" s="5">
        <f>'3_Statement_Model'!D15</f>
        <v>-1601</v>
      </c>
      <c r="F26" s="5">
        <f>'3_Statement_Model'!E15</f>
        <v>-1925</v>
      </c>
      <c r="G26" s="5">
        <f>'3_Statement_Model'!F15</f>
        <v>-2195</v>
      </c>
      <c r="H26" s="5">
        <f>'3_Statement_Model'!G15</f>
        <v>-2373</v>
      </c>
      <c r="I26" s="35">
        <f>'3_Statement_Model'!H15</f>
        <v>-2719</v>
      </c>
      <c r="J26" s="5">
        <f>'3_Statement_Model'!I15</f>
        <v>-2858.6460802639558</v>
      </c>
      <c r="K26" s="5">
        <f>'3_Statement_Model'!J15</f>
        <v>-3099.7418190919007</v>
      </c>
      <c r="L26" s="5">
        <f>'3_Statement_Model'!K15</f>
        <v>-3365.9499047702438</v>
      </c>
      <c r="M26" s="5">
        <f>'3_Statement_Model'!L15</f>
        <v>-3655.0750781737747</v>
      </c>
      <c r="N26" s="5">
        <f>'3_Statement_Model'!M15</f>
        <v>-3969.8587788407517</v>
      </c>
    </row>
    <row r="27" spans="1:14" x14ac:dyDescent="0.3">
      <c r="B27" s="1" t="s">
        <v>75</v>
      </c>
      <c r="C27" s="4"/>
      <c r="D27" s="4"/>
      <c r="E27" s="9">
        <f>E26/E23</f>
        <v>-0.23867024448419796</v>
      </c>
      <c r="F27" s="9">
        <f t="shared" ref="F27:N27" si="3">F26/F23</f>
        <v>-0.24701655331707942</v>
      </c>
      <c r="G27" s="9">
        <f t="shared" si="3"/>
        <v>-0.27052008873551886</v>
      </c>
      <c r="H27" s="9">
        <f t="shared" si="3"/>
        <v>-0.25557350565428111</v>
      </c>
      <c r="I27" s="36">
        <f t="shared" si="3"/>
        <v>-0.26187036501974381</v>
      </c>
      <c r="J27" s="9">
        <f t="shared" si="3"/>
        <v>-0.26244983645045233</v>
      </c>
      <c r="K27" s="9">
        <f t="shared" si="3"/>
        <v>-0.26684423896791831</v>
      </c>
      <c r="L27" s="9">
        <f t="shared" si="3"/>
        <v>-0.27169794202383674</v>
      </c>
      <c r="M27" s="9">
        <f t="shared" si="3"/>
        <v>-0.27664408895247289</v>
      </c>
      <c r="N27" s="9">
        <f t="shared" si="3"/>
        <v>-0.28173872369155362</v>
      </c>
    </row>
    <row r="28" spans="1:14" x14ac:dyDescent="0.3">
      <c r="C28" s="4"/>
      <c r="D28" s="4"/>
      <c r="E28" s="4"/>
      <c r="F28" s="4"/>
      <c r="G28" s="4"/>
      <c r="H28" s="4"/>
      <c r="I28" s="37"/>
      <c r="J28" s="4"/>
    </row>
    <row r="29" spans="1:14" x14ac:dyDescent="0.3">
      <c r="A29" s="14" t="s">
        <v>52</v>
      </c>
      <c r="B29" s="17" t="s">
        <v>70</v>
      </c>
      <c r="C29" s="17"/>
      <c r="D29" s="17"/>
      <c r="E29" s="17">
        <v>2021</v>
      </c>
      <c r="F29" s="17">
        <v>2022</v>
      </c>
      <c r="G29" s="17">
        <v>2023</v>
      </c>
      <c r="H29" s="17">
        <v>2024</v>
      </c>
      <c r="I29" s="34">
        <v>2025</v>
      </c>
      <c r="J29" s="17">
        <v>2026</v>
      </c>
      <c r="K29" s="17">
        <v>2027</v>
      </c>
      <c r="L29" s="17">
        <v>2028</v>
      </c>
      <c r="M29" s="17">
        <v>2029</v>
      </c>
      <c r="N29" s="17">
        <v>2030</v>
      </c>
    </row>
    <row r="30" spans="1:14" x14ac:dyDescent="0.3">
      <c r="B30" s="1" t="s">
        <v>78</v>
      </c>
      <c r="C30" s="4"/>
      <c r="D30" s="4"/>
      <c r="E30" s="5">
        <f>'3_Statement_Model'!D26+'3_Statement_Model'!D29</f>
        <v>-1781</v>
      </c>
      <c r="F30" s="5">
        <f>'3_Statement_Model'!E26+'3_Statement_Model'!E29</f>
        <v>-1900</v>
      </c>
      <c r="G30" s="5">
        <f>'3_Statement_Model'!F26+'3_Statement_Model'!F29</f>
        <v>-2077</v>
      </c>
      <c r="H30" s="5">
        <f>'3_Statement_Model'!G26+'3_Statement_Model'!G29</f>
        <v>-2237</v>
      </c>
      <c r="I30" s="35">
        <f>'3_Statement_Model'!H26+'3_Statement_Model'!H29</f>
        <v>-2426</v>
      </c>
      <c r="J30" s="5">
        <f>'3_Statement_Model'!I26+'3_Statement_Model'!I29</f>
        <v>-2587.2857963904153</v>
      </c>
      <c r="K30" s="5">
        <f>'3_Statement_Model'!J26+'3_Statement_Model'!J29</f>
        <v>-2759.2942259701504</v>
      </c>
      <c r="L30" s="5">
        <f>'3_Statement_Model'!K26+'3_Statement_Model'!K29</f>
        <v>-2942.7381528914489</v>
      </c>
      <c r="M30" s="5">
        <f>'3_Statement_Model'!L26+'3_Statement_Model'!L29</f>
        <v>-3138.3778340775812</v>
      </c>
      <c r="N30" s="5">
        <f>'3_Statement_Model'!M26+'3_Statement_Model'!M29</f>
        <v>-3347.0240699981205</v>
      </c>
    </row>
    <row r="31" spans="1:14" x14ac:dyDescent="0.3">
      <c r="B31" s="1" t="s">
        <v>73</v>
      </c>
      <c r="C31" s="4"/>
      <c r="D31" s="4"/>
      <c r="E31" s="9">
        <f>E30/E20</f>
        <v>-9.0900275099653448E-3</v>
      </c>
      <c r="F31" s="9">
        <f t="shared" ref="F31:N31" si="4">F30/F20</f>
        <v>-8.3717405289177541E-3</v>
      </c>
      <c r="G31" s="9">
        <f t="shared" si="4"/>
        <v>-8.5723719509678484E-3</v>
      </c>
      <c r="H31" s="9">
        <f t="shared" si="4"/>
        <v>-8.7914074504918394E-3</v>
      </c>
      <c r="I31" s="36">
        <f t="shared" si="4"/>
        <v>-8.8142859738042038E-3</v>
      </c>
      <c r="J31" s="9">
        <f t="shared" si="4"/>
        <v>-8.8142859738042038E-3</v>
      </c>
      <c r="K31" s="9">
        <f t="shared" si="4"/>
        <v>-8.8142859738042038E-3</v>
      </c>
      <c r="L31" s="9">
        <f t="shared" si="4"/>
        <v>-8.8142859738042038E-3</v>
      </c>
      <c r="M31" s="9">
        <f t="shared" si="4"/>
        <v>-8.8142859738042055E-3</v>
      </c>
      <c r="N31" s="9">
        <f t="shared" si="4"/>
        <v>-8.8142859738042038E-3</v>
      </c>
    </row>
    <row r="32" spans="1:14" x14ac:dyDescent="0.3">
      <c r="B32" s="1" t="s">
        <v>81</v>
      </c>
      <c r="C32" s="4"/>
      <c r="D32" s="4"/>
      <c r="E32" s="9">
        <f>E30/E34</f>
        <v>0.49637681159420288</v>
      </c>
      <c r="F32" s="9">
        <f t="shared" ref="F32:N32" si="5">F30/F34</f>
        <v>0.48830634798252376</v>
      </c>
      <c r="G32" s="9">
        <f t="shared" si="5"/>
        <v>0.48045338885033539</v>
      </c>
      <c r="H32" s="9">
        <f t="shared" si="5"/>
        <v>0.47494692144373674</v>
      </c>
      <c r="I32" s="36">
        <f t="shared" si="5"/>
        <v>0.44125136413241178</v>
      </c>
      <c r="J32" s="9">
        <f t="shared" si="5"/>
        <v>0.44125136413241184</v>
      </c>
      <c r="K32" s="9">
        <f t="shared" si="5"/>
        <v>0.44125136413241178</v>
      </c>
      <c r="L32" s="9">
        <f t="shared" si="5"/>
        <v>0.44125136413241184</v>
      </c>
      <c r="M32" s="9">
        <f t="shared" si="5"/>
        <v>0.44125136413241184</v>
      </c>
      <c r="N32" s="9">
        <f t="shared" si="5"/>
        <v>0.44125136413241184</v>
      </c>
    </row>
    <row r="33" spans="1:14" x14ac:dyDescent="0.3">
      <c r="B33" s="4"/>
      <c r="C33" s="4"/>
      <c r="D33" s="4"/>
      <c r="E33" s="4"/>
      <c r="F33" s="4"/>
      <c r="G33" s="4"/>
      <c r="H33" s="4"/>
      <c r="I33" s="37"/>
    </row>
    <row r="34" spans="1:14" x14ac:dyDescent="0.3">
      <c r="B34" s="1" t="s">
        <v>79</v>
      </c>
      <c r="C34" s="4"/>
      <c r="D34" s="4"/>
      <c r="E34" s="5">
        <f>'3_Statement_Model'!D27</f>
        <v>-3588</v>
      </c>
      <c r="F34" s="5">
        <f>'3_Statement_Model'!E27</f>
        <v>-3891</v>
      </c>
      <c r="G34" s="5">
        <f>'3_Statement_Model'!F27</f>
        <v>-4323</v>
      </c>
      <c r="H34" s="5">
        <f>'3_Statement_Model'!G27</f>
        <v>-4710</v>
      </c>
      <c r="I34" s="35">
        <f>'3_Statement_Model'!H27</f>
        <v>-5498</v>
      </c>
      <c r="J34" s="5">
        <f>'3_Statement_Model'!I27</f>
        <v>-5863.5190884396134</v>
      </c>
      <c r="K34" s="5">
        <f>'3_Statement_Model'!J27</f>
        <v>-6253.3386868853613</v>
      </c>
      <c r="L34" s="5">
        <f>'3_Statement_Model'!K27</f>
        <v>-6669.0743464951292</v>
      </c>
      <c r="M34" s="5">
        <f>'3_Statement_Model'!L27</f>
        <v>-7112.4490238081362</v>
      </c>
      <c r="N34" s="5">
        <f>'3_Statement_Model'!M27</f>
        <v>-7585.300221290051</v>
      </c>
    </row>
    <row r="35" spans="1:14" x14ac:dyDescent="0.3">
      <c r="B35" s="1" t="s">
        <v>73</v>
      </c>
      <c r="C35" s="4"/>
      <c r="D35" s="4"/>
      <c r="E35" s="9">
        <f>E34/E20</f>
        <v>-1.8312756151463029E-2</v>
      </c>
      <c r="F35" s="9">
        <f t="shared" ref="F35:N35" si="6">F34/F20</f>
        <v>-1.7144443367378411E-2</v>
      </c>
      <c r="G35" s="9">
        <f t="shared" si="6"/>
        <v>-1.7842255148788642E-2</v>
      </c>
      <c r="H35" s="9">
        <f t="shared" si="6"/>
        <v>-1.8510294632014555E-2</v>
      </c>
      <c r="I35" s="36">
        <f t="shared" si="6"/>
        <v>-1.9975657165694771E-2</v>
      </c>
      <c r="J35" s="9">
        <f t="shared" si="6"/>
        <v>-1.9975657165694768E-2</v>
      </c>
      <c r="K35" s="9">
        <f t="shared" si="6"/>
        <v>-1.9975657165694771E-2</v>
      </c>
      <c r="L35" s="9">
        <f t="shared" si="6"/>
        <v>-1.9975657165694768E-2</v>
      </c>
      <c r="M35" s="9">
        <f t="shared" si="6"/>
        <v>-1.9975657165694771E-2</v>
      </c>
      <c r="N35" s="9">
        <f t="shared" si="6"/>
        <v>-1.9975657165694768E-2</v>
      </c>
    </row>
    <row r="36" spans="1:14" x14ac:dyDescent="0.3">
      <c r="C36" s="4"/>
      <c r="D36" s="4"/>
      <c r="E36" s="4"/>
      <c r="F36" s="4"/>
      <c r="G36" s="4"/>
      <c r="H36" s="4"/>
      <c r="I36" s="37"/>
    </row>
    <row r="37" spans="1:14" x14ac:dyDescent="0.3">
      <c r="B37" s="1" t="s">
        <v>80</v>
      </c>
      <c r="C37" s="4"/>
      <c r="D37" s="4"/>
      <c r="E37" s="5">
        <f>'3_Statement_Model'!D93</f>
        <v>1003</v>
      </c>
      <c r="F37" s="5">
        <f>'3_Statement_Model'!E93</f>
        <v>-1563</v>
      </c>
      <c r="G37" s="5">
        <f>'3_Statement_Model'!F93</f>
        <v>1018</v>
      </c>
      <c r="H37" s="5">
        <f>'3_Statement_Model'!G93</f>
        <v>611</v>
      </c>
      <c r="I37" s="35">
        <f>'3_Statement_Model'!H93</f>
        <v>1764</v>
      </c>
      <c r="J37" s="5"/>
      <c r="K37" s="5"/>
      <c r="L37" s="5"/>
      <c r="M37" s="5"/>
      <c r="N37" s="5"/>
    </row>
    <row r="38" spans="1:14" x14ac:dyDescent="0.3">
      <c r="B38" s="1" t="s">
        <v>73</v>
      </c>
      <c r="C38" s="4"/>
      <c r="D38" s="4"/>
      <c r="E38" s="9">
        <f>E37/E20</f>
        <v>5.1192013433437626E-3</v>
      </c>
      <c r="F38" s="9">
        <f t="shared" ref="F38:I38" si="7">F37/F20</f>
        <v>-6.8868581298412897E-3</v>
      </c>
      <c r="G38" s="9">
        <f t="shared" si="7"/>
        <v>4.2015766230550167E-3</v>
      </c>
      <c r="H38" s="9">
        <f t="shared" si="7"/>
        <v>2.4012293036435018E-3</v>
      </c>
      <c r="I38" s="36">
        <f t="shared" si="7"/>
        <v>6.4090686140934111E-3</v>
      </c>
      <c r="J38" s="9"/>
      <c r="K38" s="9"/>
      <c r="L38" s="9"/>
      <c r="M38" s="9"/>
      <c r="N38" s="9"/>
    </row>
    <row r="39" spans="1:14" x14ac:dyDescent="0.3">
      <c r="B39" s="1" t="s">
        <v>82</v>
      </c>
      <c r="C39" s="4"/>
      <c r="D39" s="4"/>
      <c r="E39" s="9"/>
      <c r="F39" s="9">
        <f>(F37-E37)/(F20-E20)</f>
        <v>-8.2707493956486702E-2</v>
      </c>
      <c r="G39" s="9">
        <f t="shared" ref="G39:I39" si="8">(G37-F37)/(G20-F20)</f>
        <v>0.16829681794470527</v>
      </c>
      <c r="H39" s="9">
        <f t="shared" si="8"/>
        <v>-3.3462139274849957E-2</v>
      </c>
      <c r="I39" s="36">
        <f t="shared" si="8"/>
        <v>5.5480704455779038E-2</v>
      </c>
      <c r="J39" s="9"/>
      <c r="K39" s="9"/>
      <c r="L39" s="9"/>
      <c r="M39" s="9"/>
      <c r="N39" s="9"/>
    </row>
    <row r="40" spans="1:14" x14ac:dyDescent="0.3">
      <c r="B40" s="4"/>
      <c r="C40" s="4"/>
      <c r="D40" s="4"/>
      <c r="E40" s="4"/>
      <c r="F40" s="4"/>
      <c r="G40" s="4"/>
      <c r="H40" s="4"/>
      <c r="I40" s="37"/>
    </row>
    <row r="41" spans="1:14" x14ac:dyDescent="0.3">
      <c r="A41" s="14" t="s">
        <v>52</v>
      </c>
      <c r="B41" s="17" t="s">
        <v>71</v>
      </c>
      <c r="C41" s="17"/>
      <c r="D41" s="17"/>
      <c r="E41" s="17">
        <v>2021</v>
      </c>
      <c r="F41" s="17">
        <v>2022</v>
      </c>
      <c r="G41" s="17">
        <v>2023</v>
      </c>
      <c r="H41" s="17">
        <v>2024</v>
      </c>
      <c r="I41" s="34">
        <v>2025</v>
      </c>
      <c r="J41" s="17">
        <v>2026</v>
      </c>
      <c r="K41" s="17">
        <v>2027</v>
      </c>
      <c r="L41" s="17">
        <v>2028</v>
      </c>
      <c r="M41" s="17">
        <v>2029</v>
      </c>
      <c r="N41" s="17">
        <v>2030</v>
      </c>
    </row>
    <row r="42" spans="1:14" x14ac:dyDescent="0.3">
      <c r="B42" s="1" t="s">
        <v>0</v>
      </c>
      <c r="E42" s="5">
        <f>E20</f>
        <v>195929</v>
      </c>
      <c r="F42" s="5">
        <f t="shared" ref="F42:I42" si="9">F20</f>
        <v>226954</v>
      </c>
      <c r="G42" s="5">
        <f t="shared" si="9"/>
        <v>242290</v>
      </c>
      <c r="H42" s="5">
        <f t="shared" si="9"/>
        <v>254453</v>
      </c>
      <c r="I42" s="35">
        <f t="shared" si="9"/>
        <v>275235</v>
      </c>
      <c r="J42" s="5">
        <f ca="1">I42*(1+J43)</f>
        <v>293533.22595610714</v>
      </c>
      <c r="K42" s="5">
        <f t="shared" ref="K42:N42" ca="1" si="10">J42*(1+K43)</f>
        <v>314197.9650634171</v>
      </c>
      <c r="L42" s="5">
        <f t="shared" ca="1" si="10"/>
        <v>335228.28219166183</v>
      </c>
      <c r="M42" s="5">
        <f t="shared" ca="1" si="10"/>
        <v>356504.10383475933</v>
      </c>
      <c r="N42" s="5">
        <f t="shared" ca="1" si="10"/>
        <v>377894.35006484488</v>
      </c>
    </row>
    <row r="43" spans="1:14" x14ac:dyDescent="0.3">
      <c r="B43" s="1" t="s">
        <v>97</v>
      </c>
      <c r="F43" s="9">
        <f>F20/E20-1</f>
        <v>0.15834817714580285</v>
      </c>
      <c r="G43" s="9">
        <f t="shared" ref="G43:I43" si="11">G20/F20-1</f>
        <v>6.7573164606043568E-2</v>
      </c>
      <c r="H43" s="9">
        <f t="shared" si="11"/>
        <v>5.0200173345990251E-2</v>
      </c>
      <c r="I43" s="36">
        <f t="shared" si="11"/>
        <v>8.1673236314761422E-2</v>
      </c>
      <c r="J43" s="9">
        <f ca="1">OFFSET(J43,$D$10,0)</f>
        <v>6.648219142226508E-2</v>
      </c>
      <c r="K43" s="9">
        <f ca="1">OFFSET(K43,$D$10,0)</f>
        <v>7.0400000000000004E-2</v>
      </c>
      <c r="L43" s="9">
        <f ca="1">OFFSET(L43,$D$10,0)</f>
        <v>6.6933333333333331E-2</v>
      </c>
      <c r="M43" s="9">
        <f ca="1">OFFSET(M43,$D$10,0)</f>
        <v>6.3466666666666671E-2</v>
      </c>
      <c r="N43" s="9">
        <f ca="1">OFFSET(N43,$D$10,0)</f>
        <v>0.06</v>
      </c>
    </row>
    <row r="44" spans="1:14" x14ac:dyDescent="0.3">
      <c r="B44" s="1" t="s">
        <v>98</v>
      </c>
      <c r="F44" s="9"/>
      <c r="G44" s="9"/>
      <c r="H44" s="9"/>
      <c r="I44" s="36"/>
      <c r="J44" s="31">
        <f>J45</f>
        <v>6.648219142226508E-2</v>
      </c>
      <c r="K44" s="20">
        <f>K45*$H$9</f>
        <v>5.7600000000000005E-2</v>
      </c>
      <c r="L44" s="19">
        <f>$N$44+($K$44-$N$44)*((L41-$N$41)/($K$41-$N$41))</f>
        <v>5.1733333333333339E-2</v>
      </c>
      <c r="M44" s="19">
        <f>$N$44+($K$44-$N$44)*((M41-$N$41)/($K$41-$N$41))</f>
        <v>4.5866666666666667E-2</v>
      </c>
      <c r="N44" s="20">
        <f>H10</f>
        <v>0.04</v>
      </c>
    </row>
    <row r="45" spans="1:14" x14ac:dyDescent="0.3">
      <c r="B45" s="1" t="s">
        <v>99</v>
      </c>
      <c r="F45" s="9"/>
      <c r="G45" s="9"/>
      <c r="H45" s="9"/>
      <c r="I45" s="36"/>
      <c r="J45" s="31">
        <f>J21</f>
        <v>6.648219142226508E-2</v>
      </c>
      <c r="K45" s="19">
        <v>6.4000000000000001E-2</v>
      </c>
      <c r="L45" s="19">
        <f>$N$45+($K$45-$N$45)*((L41-$N$41)/($K$41-$N$41))</f>
        <v>5.9333333333333335E-2</v>
      </c>
      <c r="M45" s="19">
        <f>$N$45+($K$45-$N$45)*((M41-$N$41)/($K$41-$N$41))</f>
        <v>5.4666666666666669E-2</v>
      </c>
      <c r="N45" s="19">
        <v>0.05</v>
      </c>
    </row>
    <row r="46" spans="1:14" x14ac:dyDescent="0.3">
      <c r="B46" s="1" t="s">
        <v>100</v>
      </c>
      <c r="F46" s="9"/>
      <c r="G46" s="9"/>
      <c r="H46" s="9"/>
      <c r="I46" s="36"/>
      <c r="J46" s="32">
        <f>J45</f>
        <v>6.648219142226508E-2</v>
      </c>
      <c r="K46" s="21">
        <f>K45*$P$9</f>
        <v>7.0400000000000004E-2</v>
      </c>
      <c r="L46" s="19">
        <f>$N$46+($K$46-$N$46)*((L41-$N$41)/($K$41-$N$41))</f>
        <v>6.6933333333333331E-2</v>
      </c>
      <c r="M46" s="19">
        <f>$N$46+($K$46-$N$46)*((M41-$N$41)/($K$41-$N$41))</f>
        <v>6.3466666666666671E-2</v>
      </c>
      <c r="N46" s="21">
        <f>P10</f>
        <v>0.06</v>
      </c>
    </row>
    <row r="47" spans="1:14" x14ac:dyDescent="0.3">
      <c r="I47" s="33"/>
    </row>
    <row r="48" spans="1:14" x14ac:dyDescent="0.3">
      <c r="B48" s="1" t="s">
        <v>72</v>
      </c>
      <c r="E48" s="5">
        <f>E23</f>
        <v>6708</v>
      </c>
      <c r="F48" s="5">
        <f t="shared" ref="F48:I48" si="12">F23</f>
        <v>7793</v>
      </c>
      <c r="G48" s="5">
        <f t="shared" si="12"/>
        <v>8114</v>
      </c>
      <c r="H48" s="5">
        <f t="shared" si="12"/>
        <v>9285</v>
      </c>
      <c r="I48" s="35">
        <f t="shared" si="12"/>
        <v>10383</v>
      </c>
      <c r="J48" s="5">
        <f ca="1">J42*J49</f>
        <v>10892.161789567879</v>
      </c>
      <c r="K48" s="5">
        <f t="shared" ref="K48:N48" ca="1" si="13">K42*K49</f>
        <v>12241.918478531132</v>
      </c>
      <c r="L48" s="5">
        <f t="shared" ca="1" si="13"/>
        <v>13512.479303876586</v>
      </c>
      <c r="M48" s="5">
        <f t="shared" ca="1" si="13"/>
        <v>14689.939704095517</v>
      </c>
      <c r="N48" s="5">
        <f t="shared" ca="1" si="13"/>
        <v>16249.457052788328</v>
      </c>
    </row>
    <row r="49" spans="2:14" x14ac:dyDescent="0.3">
      <c r="B49" s="1" t="s">
        <v>101</v>
      </c>
      <c r="E49" s="10">
        <f>E48/E42</f>
        <v>3.4236891935343926E-2</v>
      </c>
      <c r="F49" s="10">
        <f t="shared" ref="F49:I49" si="14">F48/F42</f>
        <v>3.4337354706240032E-2</v>
      </c>
      <c r="G49" s="10">
        <f t="shared" si="14"/>
        <v>3.3488794419910026E-2</v>
      </c>
      <c r="H49" s="10">
        <f t="shared" si="14"/>
        <v>3.6490039417888566E-2</v>
      </c>
      <c r="I49" s="38">
        <f t="shared" si="14"/>
        <v>3.7724126655403561E-2</v>
      </c>
      <c r="J49" s="10">
        <f ca="1">OFFSET(J49,$D$11,0)</f>
        <v>3.710708303664613E-2</v>
      </c>
      <c r="K49" s="10">
        <f ca="1">OFFSET(K49,$D$11,0)</f>
        <v>3.8962437188478437E-2</v>
      </c>
      <c r="L49" s="10">
        <f ca="1">OFFSET(L49,$D$11,0)</f>
        <v>4.0308291458985623E-2</v>
      </c>
      <c r="M49" s="10">
        <f ca="1">OFFSET(M49,$D$11,0)</f>
        <v>4.1205527639323745E-2</v>
      </c>
      <c r="N49" s="10">
        <f ca="1">OFFSET(N49,$D$11,0)</f>
        <v>4.2999999999999997E-2</v>
      </c>
    </row>
    <row r="50" spans="2:14" x14ac:dyDescent="0.3">
      <c r="B50" s="1" t="s">
        <v>98</v>
      </c>
      <c r="I50" s="33"/>
      <c r="J50" s="31">
        <f>J51</f>
        <v>3.710708303664613E-2</v>
      </c>
      <c r="K50" s="20">
        <f>J50*H11</f>
        <v>3.5251728884813822E-2</v>
      </c>
      <c r="L50" s="19">
        <f>K50+($N$50-K50)/($N$41-$K$41)</f>
        <v>3.5834485923209217E-2</v>
      </c>
      <c r="M50" s="19">
        <f>L50+($N$50-L50)/($N$41-$K$41)</f>
        <v>3.6222990615472808E-2</v>
      </c>
      <c r="N50" s="20">
        <f>H12</f>
        <v>3.6999999999999998E-2</v>
      </c>
    </row>
    <row r="51" spans="2:14" x14ac:dyDescent="0.3">
      <c r="B51" s="1" t="s">
        <v>99</v>
      </c>
      <c r="I51" s="33"/>
      <c r="J51" s="31">
        <f>J24</f>
        <v>3.710708303664613E-2</v>
      </c>
      <c r="K51" s="19">
        <f>K24</f>
        <v>3.7107083036646046E-2</v>
      </c>
      <c r="L51" s="19">
        <f>K51+($N$51-K51)/($N$41-$K$41)</f>
        <v>3.8071388691097365E-2</v>
      </c>
      <c r="M51" s="19">
        <f>L51+($N$51-L51)/($N$41-$K$41)</f>
        <v>3.8714259127398246E-2</v>
      </c>
      <c r="N51" s="19">
        <v>0.04</v>
      </c>
    </row>
    <row r="52" spans="2:14" x14ac:dyDescent="0.3">
      <c r="B52" s="1" t="s">
        <v>100</v>
      </c>
      <c r="I52" s="33"/>
      <c r="J52" s="32">
        <f>J51</f>
        <v>3.710708303664613E-2</v>
      </c>
      <c r="K52" s="21">
        <f>J52*P11</f>
        <v>3.8962437188478437E-2</v>
      </c>
      <c r="L52" s="19">
        <f>K52+($N$52-K52)/($N$41-$K$41)</f>
        <v>4.0308291458985623E-2</v>
      </c>
      <c r="M52" s="19">
        <f>L52+($N$52-L52)/($N$41-$K$41)</f>
        <v>4.1205527639323745E-2</v>
      </c>
      <c r="N52" s="21">
        <f>P12</f>
        <v>4.2999999999999997E-2</v>
      </c>
    </row>
    <row r="53" spans="2:14" x14ac:dyDescent="0.3">
      <c r="I53" s="33"/>
    </row>
    <row r="54" spans="2:14" x14ac:dyDescent="0.3">
      <c r="I54" s="33"/>
    </row>
    <row r="55" spans="2:14" x14ac:dyDescent="0.3">
      <c r="B55" s="1" t="s">
        <v>74</v>
      </c>
      <c r="E55" s="5">
        <f>E26</f>
        <v>-1601</v>
      </c>
      <c r="F55" s="5">
        <f t="shared" ref="F55:I55" si="15">F26</f>
        <v>-1925</v>
      </c>
      <c r="G55" s="5">
        <f t="shared" si="15"/>
        <v>-2195</v>
      </c>
      <c r="H55" s="5">
        <f t="shared" si="15"/>
        <v>-2373</v>
      </c>
      <c r="I55" s="35">
        <f t="shared" si="15"/>
        <v>-2719</v>
      </c>
      <c r="J55" s="5">
        <f ca="1">J48*J56</f>
        <v>-2774.56202218918</v>
      </c>
      <c r="K55" s="5">
        <f t="shared" ref="K55:N55" ca="1" si="16">K48*K56</f>
        <v>-3118.3857479788635</v>
      </c>
      <c r="L55" s="5">
        <f t="shared" ca="1" si="16"/>
        <v>-3442.0358994355925</v>
      </c>
      <c r="M55" s="5">
        <f t="shared" ca="1" si="16"/>
        <v>-3741.9705655005118</v>
      </c>
      <c r="N55" s="5">
        <f t="shared" ca="1" si="16"/>
        <v>-4139.2266559097143</v>
      </c>
    </row>
    <row r="56" spans="2:14" x14ac:dyDescent="0.3">
      <c r="B56" s="1" t="s">
        <v>75</v>
      </c>
      <c r="E56" s="10">
        <f>E55/E48</f>
        <v>-0.23867024448419796</v>
      </c>
      <c r="F56" s="10">
        <f t="shared" ref="F56:I56" si="17">F55/F48</f>
        <v>-0.24701655331707942</v>
      </c>
      <c r="G56" s="10">
        <f t="shared" si="17"/>
        <v>-0.27052008873551886</v>
      </c>
      <c r="H56" s="10">
        <f t="shared" si="17"/>
        <v>-0.25557350565428111</v>
      </c>
      <c r="I56" s="38">
        <f t="shared" si="17"/>
        <v>-0.26187036501974381</v>
      </c>
      <c r="J56" s="10">
        <f>AVERAGE(E56:I56)</f>
        <v>-0.25473015144216421</v>
      </c>
      <c r="K56" s="10">
        <f>J56</f>
        <v>-0.25473015144216421</v>
      </c>
      <c r="L56" s="10">
        <f t="shared" ref="L56:N56" si="18">K56</f>
        <v>-0.25473015144216421</v>
      </c>
      <c r="M56" s="10">
        <f t="shared" si="18"/>
        <v>-0.25473015144216421</v>
      </c>
      <c r="N56" s="10">
        <f t="shared" si="18"/>
        <v>-0.25473015144216421</v>
      </c>
    </row>
    <row r="57" spans="2:14" x14ac:dyDescent="0.3">
      <c r="I57" s="33"/>
    </row>
    <row r="58" spans="2:14" x14ac:dyDescent="0.3">
      <c r="B58" s="25" t="s">
        <v>85</v>
      </c>
      <c r="C58" s="26"/>
      <c r="D58" s="26"/>
      <c r="E58" s="26"/>
      <c r="F58" s="26"/>
      <c r="G58" s="26"/>
      <c r="H58" s="26"/>
      <c r="I58" s="39"/>
      <c r="J58" s="27">
        <f ca="1">J48+J55</f>
        <v>8117.5997673786987</v>
      </c>
      <c r="K58" s="27">
        <f t="shared" ref="K58:N58" ca="1" si="19">K48+K55</f>
        <v>9123.5327305522678</v>
      </c>
      <c r="L58" s="27">
        <f t="shared" ca="1" si="19"/>
        <v>10070.443404440994</v>
      </c>
      <c r="M58" s="27">
        <f t="shared" ca="1" si="19"/>
        <v>10947.969138595006</v>
      </c>
      <c r="N58" s="28">
        <f t="shared" ca="1" si="19"/>
        <v>12110.230396878615</v>
      </c>
    </row>
    <row r="59" spans="2:14" x14ac:dyDescent="0.3">
      <c r="I59" s="33"/>
    </row>
    <row r="60" spans="2:14" x14ac:dyDescent="0.3">
      <c r="B60" s="1" t="s">
        <v>78</v>
      </c>
      <c r="E60" s="5">
        <f>E30</f>
        <v>-1781</v>
      </c>
      <c r="F60" s="5">
        <f t="shared" ref="F60:I60" si="20">F30</f>
        <v>-1900</v>
      </c>
      <c r="G60" s="5">
        <f t="shared" si="20"/>
        <v>-2077</v>
      </c>
      <c r="H60" s="5">
        <f t="shared" si="20"/>
        <v>-2237</v>
      </c>
      <c r="I60" s="35">
        <f t="shared" si="20"/>
        <v>-2426</v>
      </c>
      <c r="J60" s="5">
        <f ca="1">J61*J42</f>
        <v>-2587.2857963904153</v>
      </c>
      <c r="K60" s="5">
        <f t="shared" ref="K60:N60" ca="1" si="21">K61*K42</f>
        <v>-2769.4307164563006</v>
      </c>
      <c r="L60" s="5">
        <f t="shared" ca="1" si="21"/>
        <v>-2954.7979457444426</v>
      </c>
      <c r="M60" s="5">
        <f t="shared" ca="1" si="21"/>
        <v>-3142.3291220343572</v>
      </c>
      <c r="N60" s="5">
        <f t="shared" ca="1" si="21"/>
        <v>-3330.8688693564181</v>
      </c>
    </row>
    <row r="61" spans="2:14" x14ac:dyDescent="0.3">
      <c r="B61" s="1" t="s">
        <v>73</v>
      </c>
      <c r="E61" s="10">
        <v>-9.0900275099653448E-3</v>
      </c>
      <c r="F61" s="10">
        <v>-9.0900275099653448E-3</v>
      </c>
      <c r="G61" s="10">
        <v>-9.0900275099653448E-3</v>
      </c>
      <c r="H61" s="10">
        <v>-9.0900275099653448E-3</v>
      </c>
      <c r="I61" s="38">
        <v>-9.0900275099653448E-3</v>
      </c>
      <c r="J61" s="10">
        <f>J31</f>
        <v>-8.8142859738042038E-3</v>
      </c>
      <c r="K61" s="10">
        <f t="shared" ref="K61:N61" si="22">K31</f>
        <v>-8.8142859738042038E-3</v>
      </c>
      <c r="L61" s="10">
        <f t="shared" si="22"/>
        <v>-8.8142859738042038E-3</v>
      </c>
      <c r="M61" s="10">
        <f t="shared" si="22"/>
        <v>-8.8142859738042055E-3</v>
      </c>
      <c r="N61" s="10">
        <f t="shared" si="22"/>
        <v>-8.8142859738042038E-3</v>
      </c>
    </row>
    <row r="62" spans="2:14" x14ac:dyDescent="0.3">
      <c r="B62" s="4"/>
      <c r="I62" s="33"/>
    </row>
    <row r="63" spans="2:14" x14ac:dyDescent="0.3">
      <c r="B63" s="1" t="s">
        <v>79</v>
      </c>
      <c r="E63" s="5">
        <f>E34</f>
        <v>-3588</v>
      </c>
      <c r="F63" s="5">
        <f t="shared" ref="F63:I63" si="23">F34</f>
        <v>-3891</v>
      </c>
      <c r="G63" s="5">
        <f t="shared" si="23"/>
        <v>-4323</v>
      </c>
      <c r="H63" s="5">
        <f t="shared" si="23"/>
        <v>-4710</v>
      </c>
      <c r="I63" s="35">
        <f t="shared" si="23"/>
        <v>-5498</v>
      </c>
      <c r="J63" s="5">
        <f ca="1">J64*J42</f>
        <v>-5511.4000991095845</v>
      </c>
      <c r="K63" s="5">
        <f t="shared" ref="K63:N63" ca="1" si="24">K64*K42</f>
        <v>-5899.4026660868994</v>
      </c>
      <c r="L63" s="5">
        <f t="shared" ca="1" si="24"/>
        <v>-6294.2693512036494</v>
      </c>
      <c r="M63" s="5">
        <f t="shared" ca="1" si="24"/>
        <v>-6693.7456460267085</v>
      </c>
      <c r="N63" s="5">
        <f t="shared" ca="1" si="24"/>
        <v>-7095.3703847883107</v>
      </c>
    </row>
    <row r="64" spans="2:14" x14ac:dyDescent="0.3">
      <c r="B64" s="1" t="s">
        <v>73</v>
      </c>
      <c r="E64" s="10">
        <f>E63/E42</f>
        <v>-1.8312756151463029E-2</v>
      </c>
      <c r="F64" s="10">
        <f t="shared" ref="F64:I64" si="25">F63/F42</f>
        <v>-1.7144443367378411E-2</v>
      </c>
      <c r="G64" s="10">
        <f t="shared" si="25"/>
        <v>-1.7842255148788642E-2</v>
      </c>
      <c r="H64" s="10">
        <f t="shared" si="25"/>
        <v>-1.8510294632014555E-2</v>
      </c>
      <c r="I64" s="38">
        <f t="shared" si="25"/>
        <v>-1.9975657165694771E-2</v>
      </c>
      <c r="J64" s="10">
        <f>AVERAGE(G64:I64)</f>
        <v>-1.8776068982165991E-2</v>
      </c>
      <c r="K64" s="10">
        <f>J64</f>
        <v>-1.8776068982165991E-2</v>
      </c>
      <c r="L64" s="10">
        <f t="shared" ref="L64:N64" si="26">K64</f>
        <v>-1.8776068982165991E-2</v>
      </c>
      <c r="M64" s="10">
        <f t="shared" si="26"/>
        <v>-1.8776068982165991E-2</v>
      </c>
      <c r="N64" s="10">
        <f t="shared" si="26"/>
        <v>-1.8776068982165991E-2</v>
      </c>
    </row>
    <row r="65" spans="2:14" x14ac:dyDescent="0.3">
      <c r="I65" s="33"/>
    </row>
    <row r="66" spans="2:14" x14ac:dyDescent="0.3">
      <c r="B66" s="1" t="s">
        <v>80</v>
      </c>
      <c r="E66" s="5">
        <f>E37</f>
        <v>1003</v>
      </c>
      <c r="F66" s="5">
        <f t="shared" ref="F66:I66" si="27">F37</f>
        <v>-1563</v>
      </c>
      <c r="G66" s="5">
        <f t="shared" si="27"/>
        <v>1018</v>
      </c>
      <c r="H66" s="5">
        <f t="shared" si="27"/>
        <v>611</v>
      </c>
      <c r="I66" s="35">
        <f t="shared" si="27"/>
        <v>1764</v>
      </c>
      <c r="J66" s="5">
        <f ca="1">J67*J42</f>
        <v>660.11030215419407</v>
      </c>
      <c r="K66" s="5">
        <f t="shared" ref="K66:N66" ca="1" si="28">K67*K42</f>
        <v>706.58206742584946</v>
      </c>
      <c r="L66" s="5">
        <f t="shared" ca="1" si="28"/>
        <v>753.87596047221962</v>
      </c>
      <c r="M66" s="5">
        <f t="shared" ca="1" si="28"/>
        <v>801.72195476352329</v>
      </c>
      <c r="N66" s="5">
        <f t="shared" ca="1" si="28"/>
        <v>849.82527204933467</v>
      </c>
    </row>
    <row r="67" spans="2:14" x14ac:dyDescent="0.3">
      <c r="B67" s="1" t="s">
        <v>73</v>
      </c>
      <c r="E67" s="10">
        <f>E66/E42</f>
        <v>5.1192013433437626E-3</v>
      </c>
      <c r="F67" s="10">
        <f t="shared" ref="F67:I67" si="29">F66/F42</f>
        <v>-6.8868581298412897E-3</v>
      </c>
      <c r="G67" s="10">
        <f t="shared" si="29"/>
        <v>4.2015766230550167E-3</v>
      </c>
      <c r="H67" s="10">
        <f t="shared" si="29"/>
        <v>2.4012293036435018E-3</v>
      </c>
      <c r="I67" s="38">
        <f t="shared" si="29"/>
        <v>6.4090686140934111E-3</v>
      </c>
      <c r="J67" s="10">
        <f>AVERAGE(E67:I67)</f>
        <v>2.2488435508588806E-3</v>
      </c>
      <c r="K67" s="10">
        <f>J67</f>
        <v>2.2488435508588806E-3</v>
      </c>
      <c r="L67" s="10">
        <f t="shared" ref="L67:N67" si="30">K67</f>
        <v>2.2488435508588806E-3</v>
      </c>
      <c r="M67" s="10">
        <f t="shared" si="30"/>
        <v>2.2488435508588806E-3</v>
      </c>
      <c r="N67" s="10">
        <f t="shared" si="30"/>
        <v>2.2488435508588806E-3</v>
      </c>
    </row>
    <row r="68" spans="2:14" x14ac:dyDescent="0.3">
      <c r="I68" s="33"/>
    </row>
    <row r="69" spans="2:14" x14ac:dyDescent="0.3">
      <c r="B69" s="25" t="s">
        <v>102</v>
      </c>
      <c r="C69" s="26"/>
      <c r="D69" s="26"/>
      <c r="E69" s="26"/>
      <c r="F69" s="26"/>
      <c r="G69" s="26"/>
      <c r="H69" s="26"/>
      <c r="I69" s="39"/>
      <c r="J69" s="27">
        <f ca="1">J58-J60+J63-J66</f>
        <v>4533.3751625053355</v>
      </c>
      <c r="K69" s="27">
        <f t="shared" ref="K69:N69" ca="1" si="31">K58-K60+K63-K66</f>
        <v>5286.9787134958206</v>
      </c>
      <c r="L69" s="27">
        <f t="shared" ca="1" si="31"/>
        <v>5977.0960385095659</v>
      </c>
      <c r="M69" s="27">
        <f t="shared" ca="1" si="31"/>
        <v>6594.8306598391309</v>
      </c>
      <c r="N69" s="28">
        <f ca="1">N58-N60+N63-N66</f>
        <v>7495.9036093973864</v>
      </c>
    </row>
    <row r="70" spans="2:14" x14ac:dyDescent="0.3">
      <c r="B70" s="1" t="s">
        <v>103</v>
      </c>
      <c r="I70" s="33"/>
      <c r="J70" s="1">
        <f ca="1">J69/(1+wacc)^J74</f>
        <v>4251.3191783160928</v>
      </c>
      <c r="K70" s="1">
        <f ca="1">K69/(1+wacc)^K74</f>
        <v>4929.029039463474</v>
      </c>
      <c r="L70" s="1">
        <f ca="1">L69/(1+wacc)^L74</f>
        <v>5193.5607506517745</v>
      </c>
      <c r="M70" s="1">
        <f ca="1">M69/(1+wacc)^M74</f>
        <v>5340.7198499025399</v>
      </c>
      <c r="N70" s="1">
        <f ca="1">N69/(1+wacc)^N74</f>
        <v>5657.7181628523649</v>
      </c>
    </row>
    <row r="71" spans="2:14" x14ac:dyDescent="0.3">
      <c r="I71" s="33"/>
    </row>
    <row r="72" spans="2:14" x14ac:dyDescent="0.3">
      <c r="B72" s="1" t="s">
        <v>123</v>
      </c>
      <c r="I72" s="33"/>
      <c r="J72" s="54">
        <f ca="1">(DATE(YEAR(C5),12,31)-C5)/365</f>
        <v>0.9123287671232877</v>
      </c>
    </row>
    <row r="73" spans="2:14" x14ac:dyDescent="0.3">
      <c r="B73" s="1" t="s">
        <v>122</v>
      </c>
      <c r="I73" s="33"/>
      <c r="J73" s="1">
        <v>1</v>
      </c>
      <c r="K73" s="1">
        <f>J73+1</f>
        <v>2</v>
      </c>
      <c r="L73" s="1">
        <f t="shared" ref="L73:N73" si="32">K73+1</f>
        <v>3</v>
      </c>
      <c r="M73" s="1">
        <f t="shared" si="32"/>
        <v>4</v>
      </c>
      <c r="N73" s="1">
        <f t="shared" si="32"/>
        <v>5</v>
      </c>
    </row>
    <row r="74" spans="2:14" x14ac:dyDescent="0.3">
      <c r="B74" s="1" t="s">
        <v>124</v>
      </c>
      <c r="I74" s="33"/>
      <c r="J74" s="54">
        <f ca="1">J73*J72</f>
        <v>0.9123287671232877</v>
      </c>
      <c r="K74" s="54">
        <f ca="1">J72+(1/12)</f>
        <v>0.99566210045662107</v>
      </c>
      <c r="L74" s="54">
        <f ca="1">K74+1</f>
        <v>1.9956621004566211</v>
      </c>
      <c r="M74" s="54">
        <f t="shared" ref="M74:N74" ca="1" si="33">L74+1</f>
        <v>2.9956621004566211</v>
      </c>
      <c r="N74" s="54">
        <f t="shared" ca="1" si="33"/>
        <v>3.9956621004566211</v>
      </c>
    </row>
    <row r="75" spans="2:14" x14ac:dyDescent="0.3">
      <c r="I75" s="33"/>
    </row>
    <row r="76" spans="2:14" x14ac:dyDescent="0.3">
      <c r="B76" s="1" t="s">
        <v>106</v>
      </c>
      <c r="I76" s="33"/>
      <c r="N76" s="5">
        <f ca="1">(N69*(1+tgr))/(wacc-tgr)</f>
        <v>204442.40131956458</v>
      </c>
    </row>
    <row r="77" spans="2:14" x14ac:dyDescent="0.3">
      <c r="B77" s="1" t="s">
        <v>107</v>
      </c>
      <c r="I77" s="33"/>
      <c r="N77" s="5">
        <f ca="1">N76/(wacc+1)^N74</f>
        <v>154307.94570954214</v>
      </c>
    </row>
    <row r="78" spans="2:14" x14ac:dyDescent="0.3">
      <c r="B78" s="1" t="s">
        <v>108</v>
      </c>
      <c r="I78" s="33"/>
      <c r="N78" s="5">
        <f ca="1">SUM(J70:N70)+N77</f>
        <v>179680.29269072838</v>
      </c>
    </row>
    <row r="79" spans="2:14" x14ac:dyDescent="0.3">
      <c r="B79" s="40" t="s">
        <v>104</v>
      </c>
      <c r="I79" s="33"/>
      <c r="N79" s="5">
        <f>'3_Statement_Model'!H37+'3_Statement_Model'!H38</f>
        <v>15284</v>
      </c>
    </row>
    <row r="80" spans="2:14" x14ac:dyDescent="0.3">
      <c r="B80" s="40" t="s">
        <v>105</v>
      </c>
      <c r="I80" s="33"/>
      <c r="N80" s="5">
        <f>WACC!D15*1000</f>
        <v>5788</v>
      </c>
    </row>
    <row r="81" spans="2:14" x14ac:dyDescent="0.3">
      <c r="B81" s="1" t="s">
        <v>109</v>
      </c>
      <c r="I81" s="33"/>
      <c r="N81" s="5">
        <f ca="1">N78+N79-N80</f>
        <v>189176.29269072838</v>
      </c>
    </row>
    <row r="82" spans="2:14" x14ac:dyDescent="0.3">
      <c r="B82" s="1" t="s">
        <v>110</v>
      </c>
      <c r="I82" s="33"/>
      <c r="N82" s="5">
        <v>443.96100000000001</v>
      </c>
    </row>
    <row r="83" spans="2:14" x14ac:dyDescent="0.3">
      <c r="B83" s="50" t="s">
        <v>125</v>
      </c>
      <c r="C83" s="50"/>
      <c r="D83" s="50"/>
      <c r="E83" s="50"/>
      <c r="F83" s="50"/>
      <c r="G83" s="50"/>
      <c r="H83" s="50"/>
      <c r="I83" s="55"/>
      <c r="J83" s="50"/>
      <c r="K83" s="50"/>
      <c r="L83" s="50"/>
      <c r="M83" s="50"/>
      <c r="N83" s="56">
        <f ca="1">N81/N82</f>
        <v>426.11015988054891</v>
      </c>
    </row>
    <row r="84" spans="2:14" x14ac:dyDescent="0.3">
      <c r="I84" s="33"/>
    </row>
    <row r="94" spans="2:14" x14ac:dyDescent="0.3">
      <c r="M94" s="1" t="s">
        <v>130</v>
      </c>
    </row>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A9463-9FFF-4D16-8A51-4959F590DB0D}">
  <dimension ref="A2:I22"/>
  <sheetViews>
    <sheetView workbookViewId="0">
      <selection activeCell="H17" sqref="H17"/>
    </sheetView>
  </sheetViews>
  <sheetFormatPr defaultRowHeight="14" x14ac:dyDescent="0.3"/>
  <cols>
    <col min="1" max="2" width="8.7265625" style="1"/>
    <col min="3" max="3" width="10.6328125" style="1" customWidth="1"/>
    <col min="4" max="16384" width="8.7265625" style="1"/>
  </cols>
  <sheetData>
    <row r="2" spans="1:9" ht="20" x14ac:dyDescent="0.4">
      <c r="A2" s="41"/>
      <c r="B2" s="42" t="s">
        <v>89</v>
      </c>
      <c r="C2" s="41"/>
      <c r="D2" s="41"/>
      <c r="E2" s="41"/>
      <c r="F2" s="41"/>
      <c r="G2" s="41"/>
      <c r="H2" s="41"/>
      <c r="I2" s="41"/>
    </row>
    <row r="4" spans="1:9" x14ac:dyDescent="0.3">
      <c r="A4" s="1" t="s">
        <v>52</v>
      </c>
      <c r="B4" s="47" t="s">
        <v>89</v>
      </c>
      <c r="C4" s="48"/>
      <c r="D4" s="48"/>
      <c r="E4" s="48"/>
      <c r="F4" s="48"/>
      <c r="G4" s="48"/>
      <c r="H4" s="48"/>
      <c r="I4" s="48"/>
    </row>
    <row r="5" spans="1:9" ht="14.5" x14ac:dyDescent="0.35">
      <c r="B5"/>
      <c r="C5"/>
      <c r="D5"/>
      <c r="E5"/>
      <c r="F5"/>
      <c r="G5"/>
      <c r="H5"/>
      <c r="I5"/>
    </row>
    <row r="6" spans="1:9" x14ac:dyDescent="0.3">
      <c r="B6" s="4" t="s">
        <v>111</v>
      </c>
    </row>
    <row r="8" spans="1:9" x14ac:dyDescent="0.3">
      <c r="B8" s="1" t="s">
        <v>118</v>
      </c>
      <c r="D8" s="51">
        <v>423.04</v>
      </c>
    </row>
    <row r="9" spans="1:9" x14ac:dyDescent="0.3">
      <c r="B9" s="1" t="s">
        <v>119</v>
      </c>
      <c r="D9" s="49">
        <f>D8/D20</f>
        <v>0.98650274702211604</v>
      </c>
    </row>
    <row r="10" spans="1:9" x14ac:dyDescent="0.3">
      <c r="B10" s="1" t="s">
        <v>114</v>
      </c>
      <c r="D10" s="49">
        <v>7.4300000000000005E-2</v>
      </c>
    </row>
    <row r="11" spans="1:9" x14ac:dyDescent="0.3">
      <c r="B11" s="1" t="s">
        <v>115</v>
      </c>
      <c r="D11" s="49">
        <v>4.2689999999999999E-2</v>
      </c>
    </row>
    <row r="12" spans="1:9" x14ac:dyDescent="0.3">
      <c r="B12" s="1" t="s">
        <v>116</v>
      </c>
      <c r="D12" s="52">
        <v>1.01</v>
      </c>
    </row>
    <row r="13" spans="1:9" x14ac:dyDescent="0.3">
      <c r="B13" s="1" t="s">
        <v>117</v>
      </c>
      <c r="D13" s="49">
        <v>4.1799999999999997E-2</v>
      </c>
    </row>
    <row r="14" spans="1:9" x14ac:dyDescent="0.3">
      <c r="D14" s="43"/>
    </row>
    <row r="15" spans="1:9" x14ac:dyDescent="0.3">
      <c r="B15" s="1" t="s">
        <v>112</v>
      </c>
      <c r="D15" s="52">
        <f>0.075+5.713</f>
        <v>5.7880000000000003</v>
      </c>
    </row>
    <row r="16" spans="1:9" x14ac:dyDescent="0.3">
      <c r="B16" s="1" t="s">
        <v>120</v>
      </c>
      <c r="D16" s="49">
        <f>D15/D8</f>
        <v>1.3681921331316188E-2</v>
      </c>
    </row>
    <row r="17" spans="1:4" x14ac:dyDescent="0.3">
      <c r="B17" s="1" t="s">
        <v>113</v>
      </c>
      <c r="D17" s="49">
        <f>154/10383</f>
        <v>1.4831936819801599E-2</v>
      </c>
    </row>
    <row r="18" spans="1:4" x14ac:dyDescent="0.3">
      <c r="B18" s="1" t="s">
        <v>19</v>
      </c>
      <c r="D18" s="49">
        <f>-DCF!J56</f>
        <v>0.25473015144216421</v>
      </c>
    </row>
    <row r="20" spans="1:4" x14ac:dyDescent="0.3">
      <c r="B20" s="1" t="s">
        <v>121</v>
      </c>
      <c r="D20" s="53">
        <f>D8+D15</f>
        <v>428.82800000000003</v>
      </c>
    </row>
    <row r="22" spans="1:4" x14ac:dyDescent="0.3">
      <c r="A22" s="1" t="s">
        <v>52</v>
      </c>
      <c r="B22" s="44" t="s">
        <v>89</v>
      </c>
      <c r="C22" s="45"/>
      <c r="D22" s="46">
        <f>(D9*D10)+(D16*D17*(1-D18))</f>
        <v>7.3448391261553087E-2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3_Statement_Model</vt:lpstr>
      <vt:lpstr>DCF</vt:lpstr>
      <vt:lpstr>WACC</vt:lpstr>
      <vt:lpstr>gr</vt:lpstr>
      <vt:lpstr>term</vt:lpstr>
      <vt:lpstr>terminal</vt:lpstr>
      <vt:lpstr>tgr</vt:lpstr>
      <vt:lpstr>wacc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Balthazar Andre Char Schmitt</dc:creator>
  <cp:lastModifiedBy>Balthazar Andre Char Schmitt</cp:lastModifiedBy>
  <cp:lastPrinted>2026-01-19T21:57:18Z</cp:lastPrinted>
  <dcterms:created xsi:type="dcterms:W3CDTF">2026-01-14T02:44:35Z</dcterms:created>
  <dcterms:modified xsi:type="dcterms:W3CDTF">2026-02-02T02:32:19Z</dcterms:modified>
</cp:coreProperties>
</file>